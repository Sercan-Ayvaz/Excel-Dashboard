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rcn6\OneDrive\Desktop\"/>
    </mc:Choice>
  </mc:AlternateContent>
  <xr:revisionPtr revIDLastSave="0" documentId="13_ncr:1_{6732D556-DE0F-4F54-8814-D02063979F82}" xr6:coauthVersionLast="47" xr6:coauthVersionMax="47" xr10:uidLastSave="{00000000-0000-0000-0000-000000000000}"/>
  <bookViews>
    <workbookView xWindow="-120" yWindow="-120" windowWidth="29040" windowHeight="15720" firstSheet="2" activeTab="2" xr2:uid="{00000000-000D-0000-FFFF-FFFF00000000}"/>
  </bookViews>
  <sheets>
    <sheet name="Pivotlar" sheetId="2" state="hidden" r:id="rId1"/>
    <sheet name="Data" sheetId="1" state="hidden" r:id="rId2"/>
    <sheet name="Dashboard" sheetId="3" r:id="rId3"/>
  </sheets>
  <definedNames>
    <definedName name="Slicer_Müşteri">#N/A</definedName>
    <definedName name="Slicer_Sevkiyat">#N/A</definedName>
    <definedName name="Slicer_Ülke">#N/A</definedName>
    <definedName name="Slicer_Ürün_Adı">#N/A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alcChain>
</file>

<file path=xl/sharedStrings.xml><?xml version="1.0" encoding="utf-8"?>
<sst xmlns="http://schemas.openxmlformats.org/spreadsheetml/2006/main" count="8078" uniqueCount="99">
  <si>
    <t>Ürün No</t>
  </si>
  <si>
    <t>İsim</t>
  </si>
  <si>
    <t>Cinsiyet</t>
  </si>
  <si>
    <t>Tarih</t>
  </si>
  <si>
    <t>Satış Miktarı</t>
  </si>
  <si>
    <t>İade Miktarı</t>
  </si>
  <si>
    <t>% İade Oranı</t>
  </si>
  <si>
    <t>Ülke</t>
  </si>
  <si>
    <t>Satış Fiyatı</t>
  </si>
  <si>
    <t>Ciro</t>
  </si>
  <si>
    <t>Para Birimi</t>
  </si>
  <si>
    <t>Müşteri</t>
  </si>
  <si>
    <t>Ürün Adı</t>
  </si>
  <si>
    <t>KDV</t>
  </si>
  <si>
    <t>Sevkiyat</t>
  </si>
  <si>
    <t>Renk</t>
  </si>
  <si>
    <t>Ali</t>
  </si>
  <si>
    <t>Male</t>
  </si>
  <si>
    <t>France</t>
  </si>
  <si>
    <t>EUR</t>
  </si>
  <si>
    <t>Brightdog</t>
  </si>
  <si>
    <t>Steel</t>
  </si>
  <si>
    <t>Teslim Edildi</t>
  </si>
  <si>
    <t>Blue</t>
  </si>
  <si>
    <t>Hasan</t>
  </si>
  <si>
    <t>Jamia</t>
  </si>
  <si>
    <t>Plastic</t>
  </si>
  <si>
    <t>Sevk Edildi</t>
  </si>
  <si>
    <t>Pink</t>
  </si>
  <si>
    <t>Hüseyin</t>
  </si>
  <si>
    <t>Twinte</t>
  </si>
  <si>
    <t>Glass</t>
  </si>
  <si>
    <t>Puce</t>
  </si>
  <si>
    <t>Canan</t>
  </si>
  <si>
    <t>Female</t>
  </si>
  <si>
    <t>Rhynyx</t>
  </si>
  <si>
    <t>Indigo</t>
  </si>
  <si>
    <t>Cansu</t>
  </si>
  <si>
    <t>Tazzy</t>
  </si>
  <si>
    <t>Vinyl</t>
  </si>
  <si>
    <t>Crimson</t>
  </si>
  <si>
    <t>Kenan</t>
  </si>
  <si>
    <t>Pixoboo</t>
  </si>
  <si>
    <t>Aluminum</t>
  </si>
  <si>
    <t>Mirza</t>
  </si>
  <si>
    <t>Germany</t>
  </si>
  <si>
    <t>Meemm</t>
  </si>
  <si>
    <t>Granite</t>
  </si>
  <si>
    <t>Orange</t>
  </si>
  <si>
    <t>Ebrar</t>
  </si>
  <si>
    <t>Plexiglass</t>
  </si>
  <si>
    <t>Semih</t>
  </si>
  <si>
    <t>Thoughtblab</t>
  </si>
  <si>
    <t>Mauv</t>
  </si>
  <si>
    <t>Sevcan</t>
  </si>
  <si>
    <t>Mycat</t>
  </si>
  <si>
    <t>Violet</t>
  </si>
  <si>
    <t>Sevtap</t>
  </si>
  <si>
    <t>Devbug</t>
  </si>
  <si>
    <t>Kemal</t>
  </si>
  <si>
    <t>Leenti</t>
  </si>
  <si>
    <t>Brass</t>
  </si>
  <si>
    <t>Khaki</t>
  </si>
  <si>
    <t>Resul</t>
  </si>
  <si>
    <t>Edgepulse</t>
  </si>
  <si>
    <t>Stone</t>
  </si>
  <si>
    <t>Purple</t>
  </si>
  <si>
    <t>Beşir</t>
  </si>
  <si>
    <t>Myworks</t>
  </si>
  <si>
    <t>Maroon</t>
  </si>
  <si>
    <t>Yusuf</t>
  </si>
  <si>
    <t>Bubblemix</t>
  </si>
  <si>
    <t>Turquoise</t>
  </si>
  <si>
    <t>Soner</t>
  </si>
  <si>
    <t>Kazio</t>
  </si>
  <si>
    <t>Red</t>
  </si>
  <si>
    <t>Wood</t>
  </si>
  <si>
    <t>Teal</t>
  </si>
  <si>
    <t>Rubber</t>
  </si>
  <si>
    <t>Yellow</t>
  </si>
  <si>
    <t>Green</t>
  </si>
  <si>
    <t>Belgium</t>
  </si>
  <si>
    <t>Goldenrod</t>
  </si>
  <si>
    <t>Fuscia</t>
  </si>
  <si>
    <t>Aquamarine</t>
  </si>
  <si>
    <t>Algeria</t>
  </si>
  <si>
    <t>USD</t>
  </si>
  <si>
    <t>Turkey</t>
  </si>
  <si>
    <t>GBP</t>
  </si>
  <si>
    <t>D</t>
  </si>
  <si>
    <t>Sum of Satış Miktarı</t>
  </si>
  <si>
    <t>Row Labels</t>
  </si>
  <si>
    <t>Grand Total</t>
  </si>
  <si>
    <t>Sum of Satış Miktarı3</t>
  </si>
  <si>
    <t>% Dağılım</t>
  </si>
  <si>
    <t>Count of % İade Oranı</t>
  </si>
  <si>
    <t>İade Oranı</t>
  </si>
  <si>
    <t>Average of % İade Oranı</t>
  </si>
  <si>
    <t>Sum of Ciro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</si>
</sst>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164" formatCode="_-* #,##0_-;\-* #,##0_-;_-* &quot;-&quot;??_-;_-@_-"/>
    <numFmt numFmtId="165" formatCode="[Color10]\⬆\️;[Red]\⬇\️"/>
  </numFmts>
  <fonts count="2">
    <font>
      <sz val="11"/>
      <color theme="1"/>
      <name val="Calibri"/>
      <family val="2"/>
      <scheme val="minor"/>
    </font>
    <font>
      <sz val="11"/>
      <color theme="1"/>
      <name val="Aptos"/>
      <charset val="16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10"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164" fontId="1" fillId="0" borderId="0" xfId="0" applyNumberFormat="1" applyFont="1"/>
    <xf numFmtId="10" fontId="1" fillId="0" borderId="0" xfId="0" applyNumberFormat="1" applyFont="1"/>
    <xf numFmtId="165" fontId="1" fillId="0" borderId="0" xfId="0" applyNumberFormat="1" applyFont="1" applyAlignment="1">
      <alignment horizontal="center"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pivotButton="1" applyFon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10" fontId="1" fillId="0" borderId="0" xfId="0" applyNumberFormat="1" applyFont="1" applyAlignment="1">
      <alignment horizontal="center" vertical="center"/>
    </xf>
    <xf numFmtId="41" fontId="1" fillId="0" borderId="0" xfId="0" applyNumberFormat="1" applyFont="1" applyAlignment="1">
      <alignment horizontal="center" vertical="center"/>
    </xf>
  </cellXfs>
  <cellStyles count="1">
    <cellStyle name="Normal" xfId="0" builtinId="0"/>
  </cellStyles>
  <dxfs count="257">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4" formatCode="0.00%"/>
    </dxf>
    <dxf>
      <numFmt numFmtId="14" formatCode="0.00%"/>
    </dxf>
    <dxf>
      <numFmt numFmtId="14" formatCode="0.00%"/>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numFmt numFmtId="164" formatCode="_-* #,##0_-;\-* #,##0_-;_-* &quot;-&quot;??_-;_-@_-"/>
    </dxf>
    <dxf>
      <numFmt numFmtId="14" formatCode="0.00%"/>
    </dxf>
    <dxf>
      <numFmt numFmtId="33" formatCode="_-* #,##0_-;\-* #,##0_-;_-* &quot;-&quot;_-;_-@_-"/>
    </dxf>
    <dxf>
      <numFmt numFmtId="165" formatCode="[Color10]\⬆\️;[Red]\⬇\️"/>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general"/>
    </dxf>
    <dxf>
      <alignment horizontal="left"/>
    </dxf>
    <dxf>
      <alignment horizontal="lef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4" formatCode="0.00%"/>
    </dxf>
    <dxf>
      <numFmt numFmtId="14" formatCode="0.00%"/>
    </dxf>
    <dxf>
      <numFmt numFmtId="14" formatCode="0.00%"/>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numFmt numFmtId="164" formatCode="_-* #,##0_-;\-* #,##0_-;_-* &quot;-&quot;??_-;_-@_-"/>
    </dxf>
    <dxf>
      <numFmt numFmtId="14" formatCode="0.00%"/>
    </dxf>
    <dxf>
      <numFmt numFmtId="33" formatCode="_-* #,##0_-;\-* #,##0_-;_-* &quot;-&quot;_-;_-@_-"/>
    </dxf>
    <dxf>
      <numFmt numFmtId="165" formatCode="[Color10]\⬆\️;[Red]\⬇\️"/>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general"/>
    </dxf>
    <dxf>
      <alignment horizontal="left"/>
    </dxf>
    <dxf>
      <alignment horizontal="lef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4" formatCode="0.00%"/>
    </dxf>
    <dxf>
      <numFmt numFmtId="14" formatCode="0.00%"/>
    </dxf>
    <dxf>
      <numFmt numFmtId="14" formatCode="0.00%"/>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numFmt numFmtId="164" formatCode="_-* #,##0_-;\-* #,##0_-;_-* &quot;-&quot;??_-;_-@_-"/>
    </dxf>
    <dxf>
      <numFmt numFmtId="14" formatCode="0.00%"/>
    </dxf>
    <dxf>
      <numFmt numFmtId="33" formatCode="_-* #,##0_-;\-* #,##0_-;_-* &quot;-&quot;_-;_-@_-"/>
    </dxf>
    <dxf>
      <numFmt numFmtId="165" formatCode="[Color10]\⬆\️;[Red]\⬇\️"/>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general"/>
    </dxf>
    <dxf>
      <alignment horizontal="left"/>
    </dxf>
    <dxf>
      <alignment horizontal="lef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alignment horizontal="left"/>
    </dxf>
    <dxf>
      <alignment horizontal="left"/>
    </dxf>
    <dxf>
      <alignment horizontal="genera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Color10]\⬆\️;[Red]\⬇\️"/>
    </dxf>
    <dxf>
      <numFmt numFmtId="33" formatCode="_-* #,##0_-;\-* #,##0_-;_-* &quot;-&quot;_-;_-@_-"/>
    </dxf>
    <dxf>
      <numFmt numFmtId="14" formatCode="0.00%"/>
    </dxf>
    <dxf>
      <numFmt numFmtId="164" formatCode="_-* #,##0_-;\-* #,##0_-;_-* &quot;-&quot;??_-;_-@_-"/>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font>
        <name val="Aptos"/>
        <charset val="162"/>
        <scheme val="none"/>
      </font>
    </dxf>
    <dxf>
      <numFmt numFmtId="164" formatCode="_-* #,##0_-;\-* #,##0_-;_-* &quot;-&quot;??_-;_-@_-"/>
    </dxf>
    <dxf>
      <numFmt numFmtId="0" formatCode="General"/>
    </dxf>
    <dxf>
      <numFmt numFmtId="14" formatCode="0.00%"/>
    </dxf>
    <dxf>
      <numFmt numFmtId="14" formatCode="0.00%"/>
    </dxf>
    <dxf>
      <numFmt numFmtId="19" formatCode="d/mm/yyyy"/>
    </dxf>
    <dxf>
      <numFmt numFmtId="14" formatCode="0.00%"/>
    </dxf>
    <dxf>
      <numFmt numFmtId="14" formatCode="0.00%"/>
    </dxf>
    <dxf>
      <numFmt numFmtId="14" formatCode="0.00%"/>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name val="Aptos"/>
        <charset val="162"/>
        <scheme val="none"/>
      </font>
    </dxf>
    <dxf>
      <font>
        <name val="Aptos"/>
        <charset val="162"/>
        <scheme val="none"/>
      </font>
    </dxf>
    <dxf>
      <font>
        <name val="Aptos"/>
        <charset val="162"/>
        <scheme val="none"/>
      </font>
    </dxf>
    <dxf>
      <numFmt numFmtId="164" formatCode="_-* #,##0_-;\-* #,##0_-;_-* &quot;-&quot;??_-;_-@_-"/>
    </dxf>
    <dxf>
      <font>
        <b/>
        <i val="0"/>
        <color theme="0"/>
        <name val="Calibri Light"/>
        <family val="2"/>
        <charset val="162"/>
        <scheme val="major"/>
      </font>
    </dxf>
    <dxf>
      <fill>
        <patternFill>
          <bgColor rgb="FF5D78FF"/>
        </patternFill>
      </fill>
    </dxf>
    <dxf>
      <font>
        <b/>
        <i val="0"/>
        <color theme="0"/>
      </font>
      <fill>
        <patternFill>
          <bgColor rgb="FF5D78FF"/>
        </patternFill>
      </fill>
    </dxf>
    <dxf>
      <font>
        <b/>
        <i val="0"/>
        <color theme="0"/>
      </font>
      <fill>
        <patternFill>
          <bgColor rgb="FF5D78FF"/>
        </patternFill>
      </fill>
    </dxf>
  </dxfs>
  <tableStyles count="4" defaultTableStyle="TableStyleMedium2" defaultPivotStyle="PivotStyleLight16">
    <tableStyle name="PivotTable Style 1" table="0" count="0" xr9:uid="{F72C53DB-C306-4F29-BF5F-7E84561FA4A1}"/>
    <tableStyle name="PivotTable Style 2" table="0" count="2" xr9:uid="{FDDD9769-F3B9-4CB7-A46C-9F853C75616B}">
      <tableStyleElement type="headerRow" dxfId="256"/>
      <tableStyleElement type="totalRow" dxfId="255"/>
    </tableStyle>
    <tableStyle name="Slicer Style 1" pivot="0" table="0" count="0" xr9:uid="{31BCEB92-15D2-449A-8B21-CD40759FE895}"/>
    <tableStyle name="Slicer Style 2" pivot="0" table="0" count="4" xr9:uid="{32123BCB-2970-452F-A324-7EB5065979BE}">
      <tableStyleElement type="wholeTable" dxfId="254"/>
      <tableStyleElement type="headerRow" dxfId="253"/>
    </tableStyle>
  </tableStyles>
  <colors>
    <mruColors>
      <color rgb="FF9FA2BC"/>
      <color rgb="FF5D78FF"/>
      <color rgb="FFFFFFFF"/>
    </mruColors>
  </colors>
  <extLst>
    <ext xmlns:x14="http://schemas.microsoft.com/office/spreadsheetml/2009/9/main" uri="{46F421CA-312F-682f-3DD2-61675219B42D}">
      <x14:dxfs count="2">
        <dxf>
          <fill>
            <patternFill>
              <bgColor theme="0"/>
            </patternFill>
          </fill>
        </dxf>
        <dxf>
          <fill>
            <patternFill>
              <bgColor rgb="FF9FA2BC"/>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Dashboard.xlsx]Pivotlar!PivotTable7</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Aptos"/>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Pivotlar!$F$3</c:f>
              <c:strCache>
                <c:ptCount val="1"/>
                <c:pt idx="0">
                  <c:v>Total</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Aptos"/>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Pivotlar!$E$4:$E$19</c:f>
              <c:strCache>
                <c:ptCount val="15"/>
                <c:pt idx="0">
                  <c:v>Brightdog</c:v>
                </c:pt>
                <c:pt idx="1">
                  <c:v>Bubblemix</c:v>
                </c:pt>
                <c:pt idx="2">
                  <c:v>Devbug</c:v>
                </c:pt>
                <c:pt idx="3">
                  <c:v>Edgepulse</c:v>
                </c:pt>
                <c:pt idx="4">
                  <c:v>Jamia</c:v>
                </c:pt>
                <c:pt idx="5">
                  <c:v>Kazio</c:v>
                </c:pt>
                <c:pt idx="6">
                  <c:v>Leenti</c:v>
                </c:pt>
                <c:pt idx="7">
                  <c:v>Meemm</c:v>
                </c:pt>
                <c:pt idx="8">
                  <c:v>Mycat</c:v>
                </c:pt>
                <c:pt idx="9">
                  <c:v>Myworks</c:v>
                </c:pt>
                <c:pt idx="10">
                  <c:v>Pixoboo</c:v>
                </c:pt>
                <c:pt idx="11">
                  <c:v>Rhynyx</c:v>
                </c:pt>
                <c:pt idx="12">
                  <c:v>Tazzy</c:v>
                </c:pt>
                <c:pt idx="13">
                  <c:v>Thoughtblab</c:v>
                </c:pt>
                <c:pt idx="14">
                  <c:v>Twinte</c:v>
                </c:pt>
              </c:strCache>
            </c:strRef>
          </c:cat>
          <c:val>
            <c:numRef>
              <c:f>Pivotlar!$F$4:$F$19</c:f>
              <c:numCache>
                <c:formatCode>_-* #,##0_-;\-* #,##0_-;_-* "-"??_-;_-@_-</c:formatCode>
                <c:ptCount val="15"/>
                <c:pt idx="0">
                  <c:v>192051</c:v>
                </c:pt>
                <c:pt idx="1">
                  <c:v>168311</c:v>
                </c:pt>
                <c:pt idx="2">
                  <c:v>180117</c:v>
                </c:pt>
                <c:pt idx="3">
                  <c:v>198875</c:v>
                </c:pt>
                <c:pt idx="4">
                  <c:v>190371</c:v>
                </c:pt>
                <c:pt idx="5">
                  <c:v>176830</c:v>
                </c:pt>
                <c:pt idx="6">
                  <c:v>194997</c:v>
                </c:pt>
                <c:pt idx="7">
                  <c:v>367156</c:v>
                </c:pt>
                <c:pt idx="8">
                  <c:v>186096</c:v>
                </c:pt>
                <c:pt idx="9">
                  <c:v>185224</c:v>
                </c:pt>
                <c:pt idx="10">
                  <c:v>167742</c:v>
                </c:pt>
                <c:pt idx="11">
                  <c:v>188231</c:v>
                </c:pt>
                <c:pt idx="12">
                  <c:v>196317</c:v>
                </c:pt>
                <c:pt idx="13">
                  <c:v>183314</c:v>
                </c:pt>
                <c:pt idx="14">
                  <c:v>181599</c:v>
                </c:pt>
              </c:numCache>
            </c:numRef>
          </c:val>
          <c:smooth val="1"/>
          <c:extLst>
            <c:ext xmlns:c16="http://schemas.microsoft.com/office/drawing/2014/chart" uri="{C3380CC4-5D6E-409C-BE32-E72D297353CC}">
              <c16:uniqueId val="{00000000-EAB5-4BA8-B34E-BE3B72F5DD1B}"/>
            </c:ext>
          </c:extLst>
        </c:ser>
        <c:dLbls>
          <c:showLegendKey val="0"/>
          <c:showVal val="0"/>
          <c:showCatName val="0"/>
          <c:showSerName val="0"/>
          <c:showPercent val="0"/>
          <c:showBubbleSize val="0"/>
        </c:dLbls>
        <c:smooth val="0"/>
        <c:axId val="1969427728"/>
        <c:axId val="1969428144"/>
      </c:lineChart>
      <c:catAx>
        <c:axId val="19694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mn-ea"/>
                <a:cs typeface="+mn-cs"/>
              </a:defRPr>
            </a:pPr>
            <a:endParaRPr lang="tr-TR"/>
          </a:p>
        </c:txPr>
        <c:crossAx val="1969428144"/>
        <c:crosses val="autoZero"/>
        <c:auto val="1"/>
        <c:lblAlgn val="ctr"/>
        <c:lblOffset val="100"/>
        <c:noMultiLvlLbl val="0"/>
      </c:catAx>
      <c:valAx>
        <c:axId val="1969428144"/>
        <c:scaling>
          <c:orientation val="minMax"/>
        </c:scaling>
        <c:delete val="1"/>
        <c:axPos val="l"/>
        <c:numFmt formatCode="_-* #,##0_-;\-* #,##0_-;_-* &quot;-&quot;??_-;_-@_-" sourceLinked="1"/>
        <c:majorTickMark val="none"/>
        <c:minorTickMark val="none"/>
        <c:tickLblPos val="nextTo"/>
        <c:crossAx val="196942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20</xdr:col>
      <xdr:colOff>95250</xdr:colOff>
      <xdr:row>12</xdr:row>
      <xdr:rowOff>142875</xdr:rowOff>
    </xdr:to>
    <xdr:sp macro="" textlink="">
      <xdr:nvSpPr>
        <xdr:cNvPr id="2" name="Rectangle: Rounded Corners 1">
          <a:extLst>
            <a:ext uri="{FF2B5EF4-FFF2-40B4-BE49-F238E27FC236}">
              <a16:creationId xmlns:a16="http://schemas.microsoft.com/office/drawing/2014/main" id="{270B462C-82AD-40CF-9556-75D8A129EB13}"/>
            </a:ext>
          </a:extLst>
        </xdr:cNvPr>
        <xdr:cNvSpPr/>
      </xdr:nvSpPr>
      <xdr:spPr>
        <a:xfrm>
          <a:off x="19050" y="38100"/>
          <a:ext cx="15125700" cy="2390775"/>
        </a:xfrm>
        <a:prstGeom prst="roundRect">
          <a:avLst/>
        </a:prstGeom>
        <a:solidFill>
          <a:srgbClr val="5D78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1</xdr:colOff>
      <xdr:row>13</xdr:row>
      <xdr:rowOff>89212</xdr:rowOff>
    </xdr:from>
    <xdr:to>
      <xdr:col>3</xdr:col>
      <xdr:colOff>607530</xdr:colOff>
      <xdr:row>23</xdr:row>
      <xdr:rowOff>161926</xdr:rowOff>
    </xdr:to>
    <xdr:grpSp>
      <xdr:nvGrpSpPr>
        <xdr:cNvPr id="26" name="Group 25">
          <a:extLst>
            <a:ext uri="{FF2B5EF4-FFF2-40B4-BE49-F238E27FC236}">
              <a16:creationId xmlns:a16="http://schemas.microsoft.com/office/drawing/2014/main" id="{DD715CFF-1568-4649-8E55-41DC3AECDD63}"/>
            </a:ext>
          </a:extLst>
        </xdr:cNvPr>
        <xdr:cNvGrpSpPr/>
      </xdr:nvGrpSpPr>
      <xdr:grpSpPr>
        <a:xfrm>
          <a:off x="1" y="2565712"/>
          <a:ext cx="3379304" cy="1977714"/>
          <a:chOff x="1" y="2565712"/>
          <a:chExt cx="3390486" cy="1977714"/>
        </a:xfrm>
      </xdr:grpSpPr>
      <xdr:sp macro="" textlink="Pivotlar!A4">
        <xdr:nvSpPr>
          <xdr:cNvPr id="3" name="Rectangle: Rounded Corners 2">
            <a:extLst>
              <a:ext uri="{FF2B5EF4-FFF2-40B4-BE49-F238E27FC236}">
                <a16:creationId xmlns:a16="http://schemas.microsoft.com/office/drawing/2014/main" id="{B3FEC639-3FB0-47B8-B1E2-CF3C7969F13D}"/>
              </a:ext>
            </a:extLst>
          </xdr:cNvPr>
          <xdr:cNvSpPr/>
        </xdr:nvSpPr>
        <xdr:spPr>
          <a:xfrm>
            <a:off x="1" y="2581276"/>
            <a:ext cx="3390486" cy="1962150"/>
          </a:xfrm>
          <a:prstGeom prst="roundRect">
            <a:avLst/>
          </a:prstGeom>
          <a:solidFill>
            <a:srgbClr val="5D78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358A87D-8A93-41BF-A4EC-1749893F73A1}" type="TxLink">
              <a:rPr lang="en-US" sz="4800" b="1" i="0" u="none" strike="noStrike">
                <a:solidFill>
                  <a:schemeClr val="bg1"/>
                </a:solidFill>
                <a:latin typeface="Aptos"/>
              </a:rPr>
              <a:pPr algn="ctr"/>
              <a:t> 2.957.231 </a:t>
            </a:fld>
            <a:endParaRPr lang="tr-TR" sz="4800" b="1">
              <a:solidFill>
                <a:schemeClr val="bg1"/>
              </a:solidFill>
            </a:endParaRPr>
          </a:p>
        </xdr:txBody>
      </xdr:sp>
      <xdr:pic>
        <xdr:nvPicPr>
          <xdr:cNvPr id="8" name="Graphic 7" descr="Pie chart with solid fill">
            <a:extLst>
              <a:ext uri="{FF2B5EF4-FFF2-40B4-BE49-F238E27FC236}">
                <a16:creationId xmlns:a16="http://schemas.microsoft.com/office/drawing/2014/main" id="{AFF02EEB-67A0-4629-AD49-6E7CC9601C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5422" y="2565712"/>
            <a:ext cx="762000" cy="762000"/>
          </a:xfrm>
          <a:prstGeom prst="rect">
            <a:avLst/>
          </a:prstGeom>
        </xdr:spPr>
      </xdr:pic>
      <xdr:sp macro="" textlink="">
        <xdr:nvSpPr>
          <xdr:cNvPr id="9" name="TextBox 8">
            <a:extLst>
              <a:ext uri="{FF2B5EF4-FFF2-40B4-BE49-F238E27FC236}">
                <a16:creationId xmlns:a16="http://schemas.microsoft.com/office/drawing/2014/main" id="{AF0F0D50-ECCF-4D07-A4AD-1BC72DEFB566}"/>
              </a:ext>
            </a:extLst>
          </xdr:cNvPr>
          <xdr:cNvSpPr txBox="1"/>
        </xdr:nvSpPr>
        <xdr:spPr>
          <a:xfrm>
            <a:off x="1005924" y="2656200"/>
            <a:ext cx="2017228"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800" b="1">
                <a:solidFill>
                  <a:schemeClr val="bg1"/>
                </a:solidFill>
                <a:latin typeface="+mj-lt"/>
              </a:rPr>
              <a:t>Toplam</a:t>
            </a:r>
            <a:r>
              <a:rPr lang="tr-TR" sz="1800" b="1" baseline="0">
                <a:solidFill>
                  <a:schemeClr val="bg1"/>
                </a:solidFill>
                <a:latin typeface="+mj-lt"/>
              </a:rPr>
              <a:t> Satış Adedi</a:t>
            </a:r>
            <a:endParaRPr lang="tr-TR" sz="1800" b="1">
              <a:solidFill>
                <a:schemeClr val="bg1"/>
              </a:solidFill>
              <a:latin typeface="+mj-lt"/>
            </a:endParaRPr>
          </a:p>
        </xdr:txBody>
      </xdr:sp>
    </xdr:grpSp>
    <xdr:clientData/>
  </xdr:twoCellAnchor>
  <xdr:twoCellAnchor>
    <xdr:from>
      <xdr:col>4</xdr:col>
      <xdr:colOff>192295</xdr:colOff>
      <xdr:row>13</xdr:row>
      <xdr:rowOff>88612</xdr:rowOff>
    </xdr:from>
    <xdr:to>
      <xdr:col>8</xdr:col>
      <xdr:colOff>428764</xdr:colOff>
      <xdr:row>23</xdr:row>
      <xdr:rowOff>161926</xdr:rowOff>
    </xdr:to>
    <xdr:grpSp>
      <xdr:nvGrpSpPr>
        <xdr:cNvPr id="27" name="Group 26">
          <a:extLst>
            <a:ext uri="{FF2B5EF4-FFF2-40B4-BE49-F238E27FC236}">
              <a16:creationId xmlns:a16="http://schemas.microsoft.com/office/drawing/2014/main" id="{86D72DED-78F1-4B03-A4C0-DD8E77F5AAAB}"/>
            </a:ext>
          </a:extLst>
        </xdr:cNvPr>
        <xdr:cNvGrpSpPr/>
      </xdr:nvGrpSpPr>
      <xdr:grpSpPr>
        <a:xfrm>
          <a:off x="3887995" y="2565112"/>
          <a:ext cx="4532244" cy="1978314"/>
          <a:chOff x="4171537" y="2565112"/>
          <a:chExt cx="3400425" cy="1978314"/>
        </a:xfrm>
      </xdr:grpSpPr>
      <xdr:sp macro="" textlink="Pivotlar!A10">
        <xdr:nvSpPr>
          <xdr:cNvPr id="4" name="Rectangle: Rounded Corners 3">
            <a:extLst>
              <a:ext uri="{FF2B5EF4-FFF2-40B4-BE49-F238E27FC236}">
                <a16:creationId xmlns:a16="http://schemas.microsoft.com/office/drawing/2014/main" id="{33DCA12F-8250-48FB-8FED-A75594FAE75B}"/>
              </a:ext>
            </a:extLst>
          </xdr:cNvPr>
          <xdr:cNvSpPr/>
        </xdr:nvSpPr>
        <xdr:spPr>
          <a:xfrm>
            <a:off x="4171537" y="2581276"/>
            <a:ext cx="3400425" cy="1962150"/>
          </a:xfrm>
          <a:prstGeom prst="roundRect">
            <a:avLst/>
          </a:prstGeom>
          <a:solidFill>
            <a:srgbClr val="5D78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2D70079-D202-4BB4-927C-27A7A55BD014}" type="TxLink">
              <a:rPr lang="en-US" sz="4800" b="1" i="0" u="none" strike="noStrike">
                <a:solidFill>
                  <a:schemeClr val="bg1"/>
                </a:solidFill>
                <a:latin typeface="Aptos"/>
                <a:ea typeface="+mn-ea"/>
                <a:cs typeface="+mn-cs"/>
              </a:rPr>
              <a:pPr marL="0" indent="0" algn="ctr"/>
              <a:t> 1.000 </a:t>
            </a:fld>
            <a:endParaRPr lang="tr-TR" sz="4800" b="1" i="0" u="none" strike="noStrike">
              <a:solidFill>
                <a:schemeClr val="bg1"/>
              </a:solidFill>
              <a:latin typeface="Aptos"/>
              <a:ea typeface="+mn-ea"/>
              <a:cs typeface="+mn-cs"/>
            </a:endParaRPr>
          </a:p>
        </xdr:txBody>
      </xdr:sp>
      <xdr:pic>
        <xdr:nvPicPr>
          <xdr:cNvPr id="11" name="Graphic 10" descr="Venn diagram with solid fill">
            <a:extLst>
              <a:ext uri="{FF2B5EF4-FFF2-40B4-BE49-F238E27FC236}">
                <a16:creationId xmlns:a16="http://schemas.microsoft.com/office/drawing/2014/main" id="{B8566018-39F0-421F-B171-69B5F35E447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427470" y="2565112"/>
            <a:ext cx="765685" cy="763200"/>
          </a:xfrm>
          <a:prstGeom prst="rect">
            <a:avLst/>
          </a:prstGeom>
        </xdr:spPr>
      </xdr:pic>
      <xdr:sp macro="" textlink="">
        <xdr:nvSpPr>
          <xdr:cNvPr id="12" name="TextBox 11">
            <a:extLst>
              <a:ext uri="{FF2B5EF4-FFF2-40B4-BE49-F238E27FC236}">
                <a16:creationId xmlns:a16="http://schemas.microsoft.com/office/drawing/2014/main" id="{BFD7F80A-F062-496F-8D5E-1DE54F329D74}"/>
              </a:ext>
            </a:extLst>
          </xdr:cNvPr>
          <xdr:cNvSpPr txBox="1"/>
        </xdr:nvSpPr>
        <xdr:spPr>
          <a:xfrm>
            <a:off x="5283893" y="2656200"/>
            <a:ext cx="202634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800" b="1">
                <a:solidFill>
                  <a:schemeClr val="bg1"/>
                </a:solidFill>
                <a:latin typeface="+mj-lt"/>
              </a:rPr>
              <a:t>Toplam</a:t>
            </a:r>
            <a:r>
              <a:rPr lang="tr-TR" sz="1800" b="1" baseline="0">
                <a:solidFill>
                  <a:schemeClr val="bg1"/>
                </a:solidFill>
                <a:latin typeface="+mj-lt"/>
              </a:rPr>
              <a:t> İade Adedi</a:t>
            </a:r>
            <a:endParaRPr lang="tr-TR" sz="1800" b="1">
              <a:solidFill>
                <a:schemeClr val="bg1"/>
              </a:solidFill>
              <a:latin typeface="+mj-lt"/>
            </a:endParaRPr>
          </a:p>
        </xdr:txBody>
      </xdr:sp>
    </xdr:grpSp>
    <xdr:clientData/>
  </xdr:twoCellAnchor>
  <xdr:twoCellAnchor>
    <xdr:from>
      <xdr:col>8</xdr:col>
      <xdr:colOff>941181</xdr:colOff>
      <xdr:row>13</xdr:row>
      <xdr:rowOff>88612</xdr:rowOff>
    </xdr:from>
    <xdr:to>
      <xdr:col>13</xdr:col>
      <xdr:colOff>462446</xdr:colOff>
      <xdr:row>23</xdr:row>
      <xdr:rowOff>161926</xdr:rowOff>
    </xdr:to>
    <xdr:grpSp>
      <xdr:nvGrpSpPr>
        <xdr:cNvPr id="28" name="Group 27">
          <a:extLst>
            <a:ext uri="{FF2B5EF4-FFF2-40B4-BE49-F238E27FC236}">
              <a16:creationId xmlns:a16="http://schemas.microsoft.com/office/drawing/2014/main" id="{8D0E0A7B-F14C-4CC1-BE1F-DCD378936435}"/>
            </a:ext>
          </a:extLst>
        </xdr:cNvPr>
        <xdr:cNvGrpSpPr/>
      </xdr:nvGrpSpPr>
      <xdr:grpSpPr>
        <a:xfrm>
          <a:off x="8932656" y="2565112"/>
          <a:ext cx="3388415" cy="1978314"/>
          <a:chOff x="8353840" y="2565112"/>
          <a:chExt cx="3405809" cy="1978314"/>
        </a:xfrm>
      </xdr:grpSpPr>
      <xdr:sp macro="" textlink="Pivotlar!A16">
        <xdr:nvSpPr>
          <xdr:cNvPr id="5" name="Rectangle: Rounded Corners 4">
            <a:extLst>
              <a:ext uri="{FF2B5EF4-FFF2-40B4-BE49-F238E27FC236}">
                <a16:creationId xmlns:a16="http://schemas.microsoft.com/office/drawing/2014/main" id="{A9B7CC2B-257E-4C68-BDEF-F2DF3799ACC4}"/>
              </a:ext>
            </a:extLst>
          </xdr:cNvPr>
          <xdr:cNvSpPr/>
        </xdr:nvSpPr>
        <xdr:spPr>
          <a:xfrm>
            <a:off x="8353840" y="2581276"/>
            <a:ext cx="3405809" cy="1962150"/>
          </a:xfrm>
          <a:prstGeom prst="roundRect">
            <a:avLst/>
          </a:prstGeom>
          <a:solidFill>
            <a:srgbClr val="5D78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91CFB8B-5007-4BBD-A694-E4C9353910EF}" type="TxLink">
              <a:rPr lang="en-US" sz="4800" b="1" i="0" u="none" strike="noStrike">
                <a:solidFill>
                  <a:schemeClr val="bg1"/>
                </a:solidFill>
                <a:latin typeface="Aptos"/>
                <a:ea typeface="+mn-ea"/>
                <a:cs typeface="+mn-cs"/>
              </a:rPr>
              <a:pPr marL="0" indent="0" algn="ctr"/>
              <a:t>1,23%</a:t>
            </a:fld>
            <a:endParaRPr lang="tr-TR" sz="4800" b="1" i="0" u="none" strike="noStrike">
              <a:solidFill>
                <a:schemeClr val="bg1"/>
              </a:solidFill>
              <a:latin typeface="Aptos"/>
              <a:ea typeface="+mn-ea"/>
              <a:cs typeface="+mn-cs"/>
            </a:endParaRPr>
          </a:p>
        </xdr:txBody>
      </xdr:sp>
      <xdr:pic>
        <xdr:nvPicPr>
          <xdr:cNvPr id="14" name="Graphic 13" descr="Playbook with solid fill">
            <a:extLst>
              <a:ext uri="{FF2B5EF4-FFF2-40B4-BE49-F238E27FC236}">
                <a16:creationId xmlns:a16="http://schemas.microsoft.com/office/drawing/2014/main" id="{E6AA3F4B-8778-47F7-836A-D544F34AA02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402706" y="2565112"/>
            <a:ext cx="763200" cy="763200"/>
          </a:xfrm>
          <a:prstGeom prst="rect">
            <a:avLst/>
          </a:prstGeom>
        </xdr:spPr>
      </xdr:pic>
      <xdr:sp macro="" textlink="">
        <xdr:nvSpPr>
          <xdr:cNvPr id="15" name="TextBox 14">
            <a:extLst>
              <a:ext uri="{FF2B5EF4-FFF2-40B4-BE49-F238E27FC236}">
                <a16:creationId xmlns:a16="http://schemas.microsoft.com/office/drawing/2014/main" id="{EF6C7020-2E36-4A8E-978A-F21E9FA811DE}"/>
              </a:ext>
            </a:extLst>
          </xdr:cNvPr>
          <xdr:cNvSpPr txBox="1"/>
        </xdr:nvSpPr>
        <xdr:spPr>
          <a:xfrm>
            <a:off x="9445074" y="2656200"/>
            <a:ext cx="2029239"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800" b="1">
                <a:solidFill>
                  <a:schemeClr val="bg1"/>
                </a:solidFill>
                <a:latin typeface="+mj-lt"/>
              </a:rPr>
              <a:t>Ortalama İade Oranı</a:t>
            </a:r>
          </a:p>
        </xdr:txBody>
      </xdr:sp>
    </xdr:grpSp>
    <xdr:clientData/>
  </xdr:twoCellAnchor>
  <xdr:twoCellAnchor>
    <xdr:from>
      <xdr:col>14</xdr:col>
      <xdr:colOff>361950</xdr:colOff>
      <xdr:row>13</xdr:row>
      <xdr:rowOff>72047</xdr:rowOff>
    </xdr:from>
    <xdr:to>
      <xdr:col>20</xdr:col>
      <xdr:colOff>95250</xdr:colOff>
      <xdr:row>23</xdr:row>
      <xdr:rowOff>145361</xdr:rowOff>
    </xdr:to>
    <xdr:grpSp>
      <xdr:nvGrpSpPr>
        <xdr:cNvPr id="29" name="Group 28">
          <a:extLst>
            <a:ext uri="{FF2B5EF4-FFF2-40B4-BE49-F238E27FC236}">
              <a16:creationId xmlns:a16="http://schemas.microsoft.com/office/drawing/2014/main" id="{8F259C7C-924A-4D87-83C9-EEDCF0071ABD}"/>
            </a:ext>
          </a:extLst>
        </xdr:cNvPr>
        <xdr:cNvGrpSpPr/>
      </xdr:nvGrpSpPr>
      <xdr:grpSpPr>
        <a:xfrm>
          <a:off x="12830175" y="2548547"/>
          <a:ext cx="3390900" cy="1978314"/>
          <a:chOff x="12544012" y="2565112"/>
          <a:chExt cx="3410778" cy="1978314"/>
        </a:xfrm>
      </xdr:grpSpPr>
      <xdr:sp macro="" textlink="Pivotlar!A23">
        <xdr:nvSpPr>
          <xdr:cNvPr id="6" name="Rectangle: Rounded Corners 5">
            <a:extLst>
              <a:ext uri="{FF2B5EF4-FFF2-40B4-BE49-F238E27FC236}">
                <a16:creationId xmlns:a16="http://schemas.microsoft.com/office/drawing/2014/main" id="{058B6D7F-2DB8-48BC-B261-AB201A012354}"/>
              </a:ext>
            </a:extLst>
          </xdr:cNvPr>
          <xdr:cNvSpPr/>
        </xdr:nvSpPr>
        <xdr:spPr>
          <a:xfrm>
            <a:off x="12544012" y="2581276"/>
            <a:ext cx="3410778" cy="1962150"/>
          </a:xfrm>
          <a:prstGeom prst="roundRect">
            <a:avLst/>
          </a:prstGeom>
          <a:solidFill>
            <a:srgbClr val="5D78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6FAE4700-167B-46FE-A47F-C48C0234632D}" type="TxLink">
              <a:rPr lang="en-US" sz="4800" b="1" i="0" u="none" strike="noStrike">
                <a:solidFill>
                  <a:schemeClr val="bg1"/>
                </a:solidFill>
                <a:latin typeface="Aptos"/>
                <a:ea typeface="+mn-ea"/>
                <a:cs typeface="+mn-cs"/>
              </a:rPr>
              <a:pPr marL="0" indent="0" algn="ctr"/>
              <a:t> 103.803.222 </a:t>
            </a:fld>
            <a:endParaRPr lang="tr-TR" sz="4800" b="1" i="0" u="none" strike="noStrike">
              <a:solidFill>
                <a:schemeClr val="bg1"/>
              </a:solidFill>
              <a:latin typeface="Aptos"/>
              <a:ea typeface="+mn-ea"/>
              <a:cs typeface="+mn-cs"/>
            </a:endParaRPr>
          </a:p>
        </xdr:txBody>
      </xdr:sp>
      <xdr:pic>
        <xdr:nvPicPr>
          <xdr:cNvPr id="17" name="Graphic 16" descr="Bank with solid fill">
            <a:extLst>
              <a:ext uri="{FF2B5EF4-FFF2-40B4-BE49-F238E27FC236}">
                <a16:creationId xmlns:a16="http://schemas.microsoft.com/office/drawing/2014/main" id="{115F678E-A055-4F46-85D1-3E04E0D62D5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737415" y="2565112"/>
            <a:ext cx="766513" cy="763200"/>
          </a:xfrm>
          <a:prstGeom prst="rect">
            <a:avLst/>
          </a:prstGeom>
        </xdr:spPr>
      </xdr:pic>
      <xdr:sp macro="" textlink="">
        <xdr:nvSpPr>
          <xdr:cNvPr id="18" name="TextBox 17">
            <a:extLst>
              <a:ext uri="{FF2B5EF4-FFF2-40B4-BE49-F238E27FC236}">
                <a16:creationId xmlns:a16="http://schemas.microsoft.com/office/drawing/2014/main" id="{D167DAD8-299F-459B-9C48-F9608D702445}"/>
              </a:ext>
            </a:extLst>
          </xdr:cNvPr>
          <xdr:cNvSpPr txBox="1"/>
        </xdr:nvSpPr>
        <xdr:spPr>
          <a:xfrm>
            <a:off x="13639392" y="2656200"/>
            <a:ext cx="2029239"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800" b="1">
                <a:solidFill>
                  <a:schemeClr val="bg1"/>
                </a:solidFill>
                <a:latin typeface="+mj-lt"/>
              </a:rPr>
              <a:t>Toplam Ciro</a:t>
            </a:r>
          </a:p>
        </xdr:txBody>
      </xdr:sp>
    </xdr:grpSp>
    <xdr:clientData/>
  </xdr:twoCellAnchor>
  <xdr:twoCellAnchor>
    <xdr:from>
      <xdr:col>8</xdr:col>
      <xdr:colOff>638174</xdr:colOff>
      <xdr:row>26</xdr:row>
      <xdr:rowOff>157162</xdr:rowOff>
    </xdr:from>
    <xdr:to>
      <xdr:col>20</xdr:col>
      <xdr:colOff>47625</xdr:colOff>
      <xdr:row>45</xdr:row>
      <xdr:rowOff>152400</xdr:rowOff>
    </xdr:to>
    <xdr:graphicFrame macro="">
      <xdr:nvGraphicFramePr>
        <xdr:cNvPr id="19" name="Chart 1">
          <a:extLst>
            <a:ext uri="{FF2B5EF4-FFF2-40B4-BE49-F238E27FC236}">
              <a16:creationId xmlns:a16="http://schemas.microsoft.com/office/drawing/2014/main" id="{4F0A4248-9E4D-4601-98C9-222959739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799133</xdr:colOff>
      <xdr:row>0</xdr:row>
      <xdr:rowOff>95250</xdr:rowOff>
    </xdr:from>
    <xdr:to>
      <xdr:col>10</xdr:col>
      <xdr:colOff>211067</xdr:colOff>
      <xdr:row>11</xdr:row>
      <xdr:rowOff>161925</xdr:rowOff>
    </xdr:to>
    <mc:AlternateContent xmlns:mc="http://schemas.openxmlformats.org/markup-compatibility/2006" xmlns:a14="http://schemas.microsoft.com/office/drawing/2010/main">
      <mc:Choice Requires="a14">
        <xdr:graphicFrame macro="">
          <xdr:nvGraphicFramePr>
            <xdr:cNvPr id="21" name="Müşteri">
              <a:extLst>
                <a:ext uri="{FF2B5EF4-FFF2-40B4-BE49-F238E27FC236}">
                  <a16:creationId xmlns:a16="http://schemas.microsoft.com/office/drawing/2014/main" id="{DB8DF4CE-3500-4074-8531-F761CB873AA8}"/>
                </a:ext>
              </a:extLst>
            </xdr:cNvPr>
            <xdr:cNvGraphicFramePr/>
          </xdr:nvGraphicFramePr>
          <xdr:xfrm>
            <a:off x="0" y="0"/>
            <a:ext cx="0" cy="0"/>
          </xdr:xfrm>
          <a:graphic>
            <a:graphicData uri="http://schemas.microsoft.com/office/drawing/2010/slicer">
              <sle:slicer xmlns:sle="http://schemas.microsoft.com/office/drawing/2010/slicer" name="Müşteri"/>
            </a:graphicData>
          </a:graphic>
        </xdr:graphicFrame>
      </mc:Choice>
      <mc:Fallback xmlns="">
        <xdr:sp macro="" textlink="">
          <xdr:nvSpPr>
            <xdr:cNvPr id="0" name=""/>
            <xdr:cNvSpPr>
              <a:spLocks noTextEdit="1"/>
            </xdr:cNvSpPr>
          </xdr:nvSpPr>
          <xdr:spPr>
            <a:xfrm>
              <a:off x="6790358" y="95250"/>
              <a:ext cx="2679009" cy="216217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0</xdr:row>
      <xdr:rowOff>95250</xdr:rowOff>
    </xdr:from>
    <xdr:to>
      <xdr:col>3</xdr:col>
      <xdr:colOff>134592</xdr:colOff>
      <xdr:row>11</xdr:row>
      <xdr:rowOff>161925</xdr:rowOff>
    </xdr:to>
    <mc:AlternateContent xmlns:mc="http://schemas.openxmlformats.org/markup-compatibility/2006" xmlns:a14="http://schemas.microsoft.com/office/drawing/2010/main">
      <mc:Choice Requires="a14">
        <xdr:graphicFrame macro="">
          <xdr:nvGraphicFramePr>
            <xdr:cNvPr id="22" name="Ürün Adı">
              <a:extLst>
                <a:ext uri="{FF2B5EF4-FFF2-40B4-BE49-F238E27FC236}">
                  <a16:creationId xmlns:a16="http://schemas.microsoft.com/office/drawing/2014/main" id="{D17817B3-E8D6-4E09-AE06-16FE0ED4A3A2}"/>
                </a:ext>
              </a:extLst>
            </xdr:cNvPr>
            <xdr:cNvGraphicFramePr/>
          </xdr:nvGraphicFramePr>
          <xdr:xfrm>
            <a:off x="0" y="0"/>
            <a:ext cx="0" cy="0"/>
          </xdr:xfrm>
          <a:graphic>
            <a:graphicData uri="http://schemas.microsoft.com/office/drawing/2010/slicer">
              <sle:slicer xmlns:sle="http://schemas.microsoft.com/office/drawing/2010/slicer" name="Ürün Adı"/>
            </a:graphicData>
          </a:graphic>
        </xdr:graphicFrame>
      </mc:Choice>
      <mc:Fallback xmlns="">
        <xdr:sp macro="" textlink="">
          <xdr:nvSpPr>
            <xdr:cNvPr id="0" name=""/>
            <xdr:cNvSpPr>
              <a:spLocks noTextEdit="1"/>
            </xdr:cNvSpPr>
          </xdr:nvSpPr>
          <xdr:spPr>
            <a:xfrm>
              <a:off x="228600" y="95250"/>
              <a:ext cx="2677767" cy="216217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766693</xdr:colOff>
      <xdr:row>0</xdr:row>
      <xdr:rowOff>95250</xdr:rowOff>
    </xdr:from>
    <xdr:to>
      <xdr:col>6</xdr:col>
      <xdr:colOff>721967</xdr:colOff>
      <xdr:row>11</xdr:row>
      <xdr:rowOff>161925</xdr:rowOff>
    </xdr:to>
    <xdr:grpSp>
      <xdr:nvGrpSpPr>
        <xdr:cNvPr id="25" name="Group 24">
          <a:extLst>
            <a:ext uri="{FF2B5EF4-FFF2-40B4-BE49-F238E27FC236}">
              <a16:creationId xmlns:a16="http://schemas.microsoft.com/office/drawing/2014/main" id="{5FC05DF2-38F2-42F5-9B69-2133085BD8BD}"/>
            </a:ext>
          </a:extLst>
        </xdr:cNvPr>
        <xdr:cNvGrpSpPr/>
      </xdr:nvGrpSpPr>
      <xdr:grpSpPr>
        <a:xfrm>
          <a:off x="3538468" y="95250"/>
          <a:ext cx="2717524" cy="2162175"/>
          <a:chOff x="2993749" y="95250"/>
          <a:chExt cx="2688535" cy="2162175"/>
        </a:xfrm>
      </xdr:grpSpPr>
      <mc:AlternateContent xmlns:mc="http://schemas.openxmlformats.org/markup-compatibility/2006" xmlns:a14="http://schemas.microsoft.com/office/drawing/2010/main">
        <mc:Choice Requires="a14">
          <xdr:graphicFrame macro="">
            <xdr:nvGraphicFramePr>
              <xdr:cNvPr id="20" name="Ülke">
                <a:extLst>
                  <a:ext uri="{FF2B5EF4-FFF2-40B4-BE49-F238E27FC236}">
                    <a16:creationId xmlns:a16="http://schemas.microsoft.com/office/drawing/2014/main" id="{C611E899-DD66-43C1-83CA-ABFD308310DA}"/>
                  </a:ext>
                </a:extLst>
              </xdr:cNvPr>
              <xdr:cNvGraphicFramePr/>
            </xdr:nvGraphicFramePr>
            <xdr:xfrm>
              <a:off x="2993749" y="1200150"/>
              <a:ext cx="2688535" cy="1057275"/>
            </xdr:xfrm>
            <a:graphic>
              <a:graphicData uri="http://schemas.microsoft.com/office/drawing/2010/slicer">
                <sle:slicer xmlns:sle="http://schemas.microsoft.com/office/drawing/2010/slicer" name="Ülke"/>
              </a:graphicData>
            </a:graphic>
          </xdr:graphicFrame>
        </mc:Choice>
        <mc:Fallback xmlns="">
          <xdr:sp macro="" textlink="">
            <xdr:nvSpPr>
              <xdr:cNvPr id="0" name=""/>
              <xdr:cNvSpPr>
                <a:spLocks noTextEdit="1"/>
              </xdr:cNvSpPr>
            </xdr:nvSpPr>
            <xdr:spPr>
              <a:xfrm>
                <a:off x="3538468" y="1200150"/>
                <a:ext cx="2098399" cy="105727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Sevkiyat">
                <a:extLst>
                  <a:ext uri="{FF2B5EF4-FFF2-40B4-BE49-F238E27FC236}">
                    <a16:creationId xmlns:a16="http://schemas.microsoft.com/office/drawing/2014/main" id="{7A578DB8-9DED-47F5-B1A9-1795F2E53D88}"/>
                  </a:ext>
                </a:extLst>
              </xdr:cNvPr>
              <xdr:cNvGraphicFramePr/>
            </xdr:nvGraphicFramePr>
            <xdr:xfrm>
              <a:off x="2993749" y="95250"/>
              <a:ext cx="2688535" cy="1076325"/>
            </xdr:xfrm>
            <a:graphic>
              <a:graphicData uri="http://schemas.microsoft.com/office/drawing/2010/slicer">
                <sle:slicer xmlns:sle="http://schemas.microsoft.com/office/drawing/2010/slicer" name="Sevkiyat"/>
              </a:graphicData>
            </a:graphic>
          </xdr:graphicFrame>
        </mc:Choice>
        <mc:Fallback xmlns="">
          <xdr:sp macro="" textlink="">
            <xdr:nvSpPr>
              <xdr:cNvPr id="0" name=""/>
              <xdr:cNvSpPr>
                <a:spLocks noTextEdit="1"/>
              </xdr:cNvSpPr>
            </xdr:nvSpPr>
            <xdr:spPr>
              <a:xfrm>
                <a:off x="3538468" y="95250"/>
                <a:ext cx="2098399" cy="10763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113057</xdr:colOff>
      <xdr:row>1</xdr:row>
      <xdr:rowOff>4762</xdr:rowOff>
    </xdr:from>
    <xdr:to>
      <xdr:col>18</xdr:col>
      <xdr:colOff>597176</xdr:colOff>
      <xdr:row>11</xdr:row>
      <xdr:rowOff>61912</xdr:rowOff>
    </xdr:to>
    <xdr:sp macro="" textlink="">
      <xdr:nvSpPr>
        <xdr:cNvPr id="24" name="TextBox 23">
          <a:extLst>
            <a:ext uri="{FF2B5EF4-FFF2-40B4-BE49-F238E27FC236}">
              <a16:creationId xmlns:a16="http://schemas.microsoft.com/office/drawing/2014/main" id="{BB4EA162-DEA1-454D-9A4B-3BBB4901EBD1}"/>
            </a:ext>
          </a:extLst>
        </xdr:cNvPr>
        <xdr:cNvSpPr txBox="1"/>
      </xdr:nvSpPr>
      <xdr:spPr>
        <a:xfrm>
          <a:off x="11758405" y="195262"/>
          <a:ext cx="3548684" cy="196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4800" b="1">
              <a:solidFill>
                <a:schemeClr val="bg1"/>
              </a:solidFill>
              <a:latin typeface="Aptos"/>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can Ayvaz" refreshedDate="45970.680412731483" createdVersion="7" refreshedVersion="7" minRefreshableVersion="3" recordCount="1000" xr:uid="{482418E5-52D0-4BAA-9387-022DCB9089E0}">
  <cacheSource type="worksheet">
    <worksheetSource name="Table1"/>
  </cacheSource>
  <cacheFields count="17">
    <cacheField name="Ürün No" numFmtId="0">
      <sharedItems containsMixedTypes="1" containsNumber="1" containsInteger="1" minValue="210985" maxValue="998534972"/>
    </cacheField>
    <cacheField name="İsim" numFmtId="0">
      <sharedItems/>
    </cacheField>
    <cacheField name="Cinsiyet" numFmtId="0">
      <sharedItems/>
    </cacheField>
    <cacheField name="Tarih" numFmtId="14">
      <sharedItems containsSemiMixedTypes="0" containsNonDate="0" containsDate="1" containsString="0" minDate="2030-01-01T00:00:00" maxDate="2032-12-31T00:00:00"/>
    </cacheField>
    <cacheField name="Satış Miktarı" numFmtId="0">
      <sharedItems containsSemiMixedTypes="0" containsString="0" containsNumber="1" containsInteger="1" minValue="1000" maxValue="4996"/>
    </cacheField>
    <cacheField name="İade Miktarı" numFmtId="0">
      <sharedItems containsSemiMixedTypes="0" containsString="0" containsNumber="1" containsInteger="1" minValue="10" maxValue="50"/>
    </cacheField>
    <cacheField name="% İade Oranı" numFmtId="10">
      <sharedItems containsSemiMixedTypes="0" containsString="0" containsNumber="1" minValue="2.0999999999999999E-3" maxValue="4.6899999999999997E-2"/>
    </cacheField>
    <cacheField name="İade Oranı" numFmtId="10">
      <sharedItems containsSemiMixedTypes="0" containsString="0" containsNumber="1" minValue="2.1404109589041095E-3" maxValue="4.6860356138706656E-2"/>
    </cacheField>
    <cacheField name="Ülke" numFmtId="0">
      <sharedItems count="5">
        <s v="France"/>
        <s v="Germany"/>
        <s v="Belgium"/>
        <s v="Algeria"/>
        <s v="Turkey"/>
      </sharedItems>
    </cacheField>
    <cacheField name="Satış Fiyatı" numFmtId="0">
      <sharedItems containsSemiMixedTypes="0" containsString="0" containsNumber="1" containsInteger="1" minValue="20" maxValue="50"/>
    </cacheField>
    <cacheField name="Ciro" numFmtId="0">
      <sharedItems containsSemiMixedTypes="0" containsString="0" containsNumber="1" containsInteger="1" minValue="21220" maxValue="244050"/>
    </cacheField>
    <cacheField name="Para Birimi" numFmtId="0">
      <sharedItems/>
    </cacheField>
    <cacheField name="Müşteri" numFmtId="0">
      <sharedItems count="15">
        <s v="Brightdog"/>
        <s v="Jamia"/>
        <s v="Twinte"/>
        <s v="Rhynyx"/>
        <s v="Tazzy"/>
        <s v="Pixoboo"/>
        <s v="Meemm"/>
        <s v="Thoughtblab"/>
        <s v="Mycat"/>
        <s v="Devbug"/>
        <s v="Leenti"/>
        <s v="Edgepulse"/>
        <s v="Myworks"/>
        <s v="Bubblemix"/>
        <s v="Kazio"/>
      </sharedItems>
    </cacheField>
    <cacheField name="Ürün Adı" numFmtId="0">
      <sharedItems count="11">
        <s v="Steel"/>
        <s v="Plastic"/>
        <s v="Glass"/>
        <s v="Vinyl"/>
        <s v="Aluminum"/>
        <s v="Granite"/>
        <s v="Plexiglass"/>
        <s v="Brass"/>
        <s v="Stone"/>
        <s v="Wood"/>
        <s v="Rubber"/>
      </sharedItems>
    </cacheField>
    <cacheField name="KDV" numFmtId="0">
      <sharedItems containsSemiMixedTypes="0" containsString="0" containsNumber="1" minValue="0.2" maxValue="0.2"/>
    </cacheField>
    <cacheField name="Sevkiyat" numFmtId="0">
      <sharedItems count="2">
        <s v="Teslim Edildi"/>
        <s v="Sevk Edildi"/>
      </sharedItems>
    </cacheField>
    <cacheField name="Renk" numFmtId="0">
      <sharedItems/>
    </cacheField>
  </cacheFields>
  <extLst>
    <ext xmlns:x14="http://schemas.microsoft.com/office/spreadsheetml/2009/9/main" uri="{725AE2AE-9491-48be-B2B4-4EB974FC3084}">
      <x14:pivotCacheDefinition pivotCacheId="1250435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D"/>
    <s v="Ali"/>
    <s v="Male"/>
    <d v="2032-06-12T00:00:00"/>
    <n v="1795"/>
    <n v="41"/>
    <n v="2.2800000000000001E-2"/>
    <n v="2.2841225626740947E-2"/>
    <x v="0"/>
    <n v="48"/>
    <n v="86160"/>
    <s v="EUR"/>
    <x v="0"/>
    <x v="0"/>
    <n v="0.2"/>
    <x v="0"/>
    <s v="Blue"/>
  </r>
  <r>
    <n v="709816894"/>
    <s v="Hasan"/>
    <s v="Male"/>
    <d v="2031-06-17T00:00:00"/>
    <n v="1819"/>
    <n v="42"/>
    <n v="2.3099999999999999E-2"/>
    <n v="2.308960967564596E-2"/>
    <x v="0"/>
    <n v="31"/>
    <n v="56389"/>
    <s v="EUR"/>
    <x v="1"/>
    <x v="1"/>
    <n v="0.2"/>
    <x v="1"/>
    <s v="Pink"/>
  </r>
  <r>
    <n v="307695570"/>
    <s v="Hüseyin"/>
    <s v="Male"/>
    <d v="2031-03-08T00:00:00"/>
    <n v="2458"/>
    <n v="46"/>
    <n v="1.8700000000000001E-2"/>
    <n v="1.8714401952807162E-2"/>
    <x v="0"/>
    <n v="38"/>
    <n v="93404"/>
    <s v="EUR"/>
    <x v="2"/>
    <x v="2"/>
    <n v="0.2"/>
    <x v="1"/>
    <s v="Puce"/>
  </r>
  <r>
    <n v="813468636"/>
    <s v="Canan"/>
    <s v="Female"/>
    <d v="2032-07-19T00:00:00"/>
    <n v="4415"/>
    <n v="28"/>
    <n v="6.3E-3"/>
    <n v="6.3420158550396375E-3"/>
    <x v="0"/>
    <n v="49"/>
    <n v="216335"/>
    <s v="EUR"/>
    <x v="3"/>
    <x v="0"/>
    <n v="0.2"/>
    <x v="0"/>
    <s v="Indigo"/>
  </r>
  <r>
    <n v="210985"/>
    <s v="Cansu"/>
    <s v="Female"/>
    <d v="2032-07-14T00:00:00"/>
    <n v="2833"/>
    <n v="31"/>
    <n v="1.09E-2"/>
    <n v="1.0942463819272856E-2"/>
    <x v="0"/>
    <n v="28"/>
    <n v="79324"/>
    <s v="EUR"/>
    <x v="4"/>
    <x v="3"/>
    <n v="0.2"/>
    <x v="0"/>
    <s v="Crimson"/>
  </r>
  <r>
    <n v="620436955"/>
    <s v="Kenan"/>
    <s v="Male"/>
    <d v="2032-04-23T00:00:00"/>
    <n v="1688"/>
    <n v="32"/>
    <n v="1.9E-2"/>
    <n v="1.8957345971563982E-2"/>
    <x v="0"/>
    <n v="20"/>
    <n v="33760"/>
    <s v="EUR"/>
    <x v="5"/>
    <x v="4"/>
    <n v="0.2"/>
    <x v="1"/>
    <s v="Indigo"/>
  </r>
  <r>
    <n v="300157339"/>
    <s v="Mirza"/>
    <s v="Male"/>
    <d v="2030-06-01T00:00:00"/>
    <n v="4994"/>
    <n v="47"/>
    <n v="9.4000000000000004E-3"/>
    <n v="9.4112935522627159E-3"/>
    <x v="1"/>
    <n v="24"/>
    <n v="119856"/>
    <s v="EUR"/>
    <x v="6"/>
    <x v="5"/>
    <n v="0.2"/>
    <x v="1"/>
    <s v="Orange"/>
  </r>
  <r>
    <n v="433553833"/>
    <s v="Ebrar"/>
    <s v="Female"/>
    <d v="2030-06-08T00:00:00"/>
    <n v="4780"/>
    <n v="31"/>
    <n v="6.4999999999999997E-3"/>
    <n v="6.4853556485355646E-3"/>
    <x v="0"/>
    <n v="50"/>
    <n v="239000"/>
    <s v="EUR"/>
    <x v="6"/>
    <x v="6"/>
    <n v="0.2"/>
    <x v="0"/>
    <s v="Orange"/>
  </r>
  <r>
    <n v="293491892"/>
    <s v="Semih"/>
    <s v="Male"/>
    <d v="2030-03-26T00:00:00"/>
    <n v="1596"/>
    <n v="36"/>
    <n v="2.2599999999999999E-2"/>
    <n v="2.2556390977443608E-2"/>
    <x v="0"/>
    <n v="46"/>
    <n v="73416"/>
    <s v="EUR"/>
    <x v="7"/>
    <x v="2"/>
    <n v="0.2"/>
    <x v="0"/>
    <s v="Mauv"/>
  </r>
  <r>
    <n v="98590735"/>
    <s v="Sevcan"/>
    <s v="Female"/>
    <d v="2031-09-07T00:00:00"/>
    <n v="1919"/>
    <n v="13"/>
    <n v="6.7999999999999996E-3"/>
    <n v="6.7743616466909851E-3"/>
    <x v="0"/>
    <n v="20"/>
    <n v="38380"/>
    <s v="EUR"/>
    <x v="8"/>
    <x v="5"/>
    <n v="0.2"/>
    <x v="0"/>
    <s v="Violet"/>
  </r>
  <r>
    <n v="779716772"/>
    <s v="Sevtap"/>
    <s v="Female"/>
    <d v="2031-08-03T00:00:00"/>
    <n v="4640"/>
    <n v="47"/>
    <n v="1.01E-2"/>
    <n v="1.0129310344827586E-2"/>
    <x v="0"/>
    <n v="35"/>
    <n v="162400"/>
    <s v="EUR"/>
    <x v="9"/>
    <x v="3"/>
    <n v="0.2"/>
    <x v="1"/>
    <s v="Puce"/>
  </r>
  <r>
    <n v="84296813"/>
    <s v="Kemal"/>
    <s v="Male"/>
    <d v="2030-10-19T00:00:00"/>
    <n v="1712"/>
    <n v="14"/>
    <n v="8.2000000000000007E-3"/>
    <n v="8.1775700934579431E-3"/>
    <x v="0"/>
    <n v="49"/>
    <n v="83888"/>
    <s v="EUR"/>
    <x v="10"/>
    <x v="7"/>
    <n v="0.2"/>
    <x v="1"/>
    <s v="Khaki"/>
  </r>
  <r>
    <n v="95577681"/>
    <s v="Resul"/>
    <s v="Male"/>
    <d v="2030-09-16T00:00:00"/>
    <n v="3533"/>
    <n v="50"/>
    <n v="1.4200000000000001E-2"/>
    <n v="1.4152278516841211E-2"/>
    <x v="0"/>
    <n v="32"/>
    <n v="113056"/>
    <s v="EUR"/>
    <x v="11"/>
    <x v="8"/>
    <n v="0.2"/>
    <x v="0"/>
    <s v="Purple"/>
  </r>
  <r>
    <n v="93011668"/>
    <s v="Beşir"/>
    <s v="Male"/>
    <d v="2032-01-29T00:00:00"/>
    <n v="2173"/>
    <n v="35"/>
    <n v="1.61E-2"/>
    <n v="1.6106764841233318E-2"/>
    <x v="0"/>
    <n v="22"/>
    <n v="47806"/>
    <s v="EUR"/>
    <x v="12"/>
    <x v="3"/>
    <n v="0.2"/>
    <x v="0"/>
    <s v="Maroon"/>
  </r>
  <r>
    <n v="78512802"/>
    <s v="Yusuf"/>
    <s v="Male"/>
    <d v="2032-12-30T00:00:00"/>
    <n v="3485"/>
    <n v="28"/>
    <n v="8.0000000000000002E-3"/>
    <n v="8.0344332855093251E-3"/>
    <x v="0"/>
    <n v="20"/>
    <n v="69700"/>
    <s v="EUR"/>
    <x v="13"/>
    <x v="2"/>
    <n v="0.2"/>
    <x v="0"/>
    <s v="Turquoise"/>
  </r>
  <r>
    <n v="499786792"/>
    <s v="Soner"/>
    <s v="Male"/>
    <d v="2030-07-24T00:00:00"/>
    <n v="4057"/>
    <n v="30"/>
    <n v="7.4000000000000003E-3"/>
    <n v="7.3946265713581462E-3"/>
    <x v="0"/>
    <n v="35"/>
    <n v="141995"/>
    <s v="EUR"/>
    <x v="14"/>
    <x v="4"/>
    <n v="0.2"/>
    <x v="0"/>
    <s v="Violet"/>
  </r>
  <r>
    <n v="387313784"/>
    <s v="Ali"/>
    <s v="Male"/>
    <d v="2031-04-28T00:00:00"/>
    <n v="4512"/>
    <n v="42"/>
    <n v="9.2999999999999992E-3"/>
    <n v="9.3085106382978719E-3"/>
    <x v="0"/>
    <n v="41"/>
    <n v="184992"/>
    <s v="EUR"/>
    <x v="0"/>
    <x v="0"/>
    <n v="0.2"/>
    <x v="0"/>
    <s v="Red"/>
  </r>
  <r>
    <n v="989266977"/>
    <s v="Hasan"/>
    <s v="Male"/>
    <d v="2030-04-04T00:00:00"/>
    <n v="1668"/>
    <n v="21"/>
    <n v="1.26E-2"/>
    <n v="1.2589928057553957E-2"/>
    <x v="0"/>
    <n v="45"/>
    <n v="75060"/>
    <s v="EUR"/>
    <x v="1"/>
    <x v="0"/>
    <n v="0.2"/>
    <x v="0"/>
    <s v="Pink"/>
  </r>
  <r>
    <n v="421144025"/>
    <s v="Hüseyin"/>
    <s v="Male"/>
    <d v="2030-04-27T00:00:00"/>
    <n v="3079"/>
    <n v="28"/>
    <n v="9.1000000000000004E-3"/>
    <n v="9.0938616433907105E-3"/>
    <x v="0"/>
    <n v="20"/>
    <n v="61580"/>
    <s v="EUR"/>
    <x v="2"/>
    <x v="9"/>
    <n v="0.2"/>
    <x v="0"/>
    <s v="Teal"/>
  </r>
  <r>
    <n v="247019161"/>
    <s v="Canan"/>
    <s v="Female"/>
    <d v="2032-04-27T00:00:00"/>
    <n v="1727"/>
    <n v="27"/>
    <n v="1.5599999999999999E-2"/>
    <n v="1.5634047481181239E-2"/>
    <x v="0"/>
    <n v="47"/>
    <n v="81169"/>
    <s v="EUR"/>
    <x v="3"/>
    <x v="10"/>
    <n v="0.2"/>
    <x v="0"/>
    <s v="Puce"/>
  </r>
  <r>
    <n v="450401046"/>
    <s v="Cansu"/>
    <s v="Female"/>
    <d v="2032-06-09T00:00:00"/>
    <n v="1846"/>
    <n v="42"/>
    <n v="2.2800000000000001E-2"/>
    <n v="2.2751895991332611E-2"/>
    <x v="0"/>
    <n v="42"/>
    <n v="77532"/>
    <s v="EUR"/>
    <x v="4"/>
    <x v="4"/>
    <n v="0.2"/>
    <x v="0"/>
    <s v="Yellow"/>
  </r>
  <r>
    <n v="408095334"/>
    <s v="Kenan"/>
    <s v="Male"/>
    <d v="2031-03-22T00:00:00"/>
    <n v="2031"/>
    <n v="20"/>
    <n v="9.7999999999999997E-3"/>
    <n v="9.8473658296405718E-3"/>
    <x v="0"/>
    <n v="28"/>
    <n v="56868"/>
    <s v="EUR"/>
    <x v="5"/>
    <x v="9"/>
    <n v="0.2"/>
    <x v="0"/>
    <s v="Yellow"/>
  </r>
  <r>
    <n v="277425299"/>
    <s v="Mirza"/>
    <s v="Male"/>
    <d v="2031-07-12T00:00:00"/>
    <n v="4433"/>
    <n v="30"/>
    <n v="6.7999999999999996E-3"/>
    <n v="6.7674261222648319E-3"/>
    <x v="0"/>
    <n v="39"/>
    <n v="172887"/>
    <s v="EUR"/>
    <x v="6"/>
    <x v="0"/>
    <n v="0.2"/>
    <x v="0"/>
    <s v="Violet"/>
  </r>
  <r>
    <n v="699233387"/>
    <s v="Ebrar"/>
    <s v="Female"/>
    <d v="2031-01-25T00:00:00"/>
    <n v="3125"/>
    <n v="46"/>
    <n v="1.47E-2"/>
    <n v="1.472E-2"/>
    <x v="0"/>
    <n v="38"/>
    <n v="118750"/>
    <s v="EUR"/>
    <x v="6"/>
    <x v="4"/>
    <n v="0.2"/>
    <x v="1"/>
    <s v="Orange"/>
  </r>
  <r>
    <n v="209997565"/>
    <s v="Semih"/>
    <s v="Male"/>
    <d v="2032-01-16T00:00:00"/>
    <n v="1308"/>
    <n v="27"/>
    <n v="2.06E-2"/>
    <n v="2.0642201834862386E-2"/>
    <x v="0"/>
    <n v="34"/>
    <n v="44472"/>
    <s v="EUR"/>
    <x v="7"/>
    <x v="9"/>
    <n v="0.2"/>
    <x v="0"/>
    <s v="Turquoise"/>
  </r>
  <r>
    <n v="764584492"/>
    <s v="Sevcan"/>
    <s v="Female"/>
    <d v="2032-06-16T00:00:00"/>
    <n v="4070"/>
    <n v="30"/>
    <n v="7.4000000000000003E-3"/>
    <n v="7.3710073710073713E-3"/>
    <x v="0"/>
    <n v="45"/>
    <n v="183150"/>
    <s v="EUR"/>
    <x v="8"/>
    <x v="1"/>
    <n v="0.2"/>
    <x v="0"/>
    <s v="Crimson"/>
  </r>
  <r>
    <n v="984361562"/>
    <s v="Sevtap"/>
    <s v="Female"/>
    <d v="2031-12-17T00:00:00"/>
    <n v="1015"/>
    <n v="21"/>
    <n v="2.07E-2"/>
    <n v="2.0689655172413793E-2"/>
    <x v="0"/>
    <n v="34"/>
    <n v="34510"/>
    <s v="EUR"/>
    <x v="9"/>
    <x v="3"/>
    <n v="0.2"/>
    <x v="1"/>
    <s v="Khaki"/>
  </r>
  <r>
    <n v="738052081"/>
    <s v="Kemal"/>
    <s v="Male"/>
    <d v="2032-02-19T00:00:00"/>
    <n v="1294"/>
    <n v="29"/>
    <n v="2.24E-2"/>
    <n v="2.241112828438949E-2"/>
    <x v="0"/>
    <n v="37"/>
    <n v="47878"/>
    <s v="EUR"/>
    <x v="10"/>
    <x v="4"/>
    <n v="0.2"/>
    <x v="0"/>
    <s v="Mauv"/>
  </r>
  <r>
    <n v="75315714"/>
    <s v="Resul"/>
    <s v="Male"/>
    <d v="2032-07-16T00:00:00"/>
    <n v="3008"/>
    <n v="19"/>
    <n v="6.3E-3"/>
    <n v="6.3164893617021272E-3"/>
    <x v="0"/>
    <n v="20"/>
    <n v="60160"/>
    <s v="EUR"/>
    <x v="11"/>
    <x v="10"/>
    <n v="0.2"/>
    <x v="1"/>
    <s v="Pink"/>
  </r>
  <r>
    <n v="322338038"/>
    <s v="Beşir"/>
    <s v="Male"/>
    <d v="2030-05-11T00:00:00"/>
    <n v="4389"/>
    <n v="37"/>
    <n v="8.3999999999999995E-3"/>
    <n v="8.4301663249031662E-3"/>
    <x v="0"/>
    <n v="24"/>
    <n v="105336"/>
    <s v="EUR"/>
    <x v="12"/>
    <x v="0"/>
    <n v="0.2"/>
    <x v="1"/>
    <s v="Maroon"/>
  </r>
  <r>
    <n v="919016414"/>
    <s v="Yusuf"/>
    <s v="Male"/>
    <d v="2031-10-13T00:00:00"/>
    <n v="1189"/>
    <n v="18"/>
    <n v="1.5100000000000001E-2"/>
    <n v="1.5138772077375946E-2"/>
    <x v="1"/>
    <n v="20"/>
    <n v="23780"/>
    <s v="EUR"/>
    <x v="13"/>
    <x v="4"/>
    <n v="0.2"/>
    <x v="1"/>
    <s v="Maroon"/>
  </r>
  <r>
    <n v="700729527"/>
    <s v="Soner"/>
    <s v="Male"/>
    <d v="2031-10-11T00:00:00"/>
    <n v="2426"/>
    <n v="23"/>
    <n v="9.4999999999999998E-3"/>
    <n v="9.4806265457543278E-3"/>
    <x v="0"/>
    <n v="38"/>
    <n v="92188"/>
    <s v="EUR"/>
    <x v="14"/>
    <x v="9"/>
    <n v="0.2"/>
    <x v="0"/>
    <s v="Blue"/>
  </r>
  <r>
    <n v="698733752"/>
    <s v="Ali"/>
    <s v="Male"/>
    <d v="2030-07-03T00:00:00"/>
    <n v="4135"/>
    <n v="19"/>
    <n v="4.5999999999999999E-3"/>
    <n v="4.5949214026602177E-3"/>
    <x v="0"/>
    <n v="29"/>
    <n v="119915"/>
    <s v="EUR"/>
    <x v="0"/>
    <x v="6"/>
    <n v="0.2"/>
    <x v="1"/>
    <s v="Green"/>
  </r>
  <r>
    <n v="483874140"/>
    <s v="Hasan"/>
    <s v="Male"/>
    <d v="2031-10-31T00:00:00"/>
    <n v="3292"/>
    <n v="28"/>
    <n v="8.5000000000000006E-3"/>
    <n v="8.5054678007290396E-3"/>
    <x v="0"/>
    <n v="30"/>
    <n v="98760"/>
    <s v="EUR"/>
    <x v="1"/>
    <x v="2"/>
    <n v="0.2"/>
    <x v="1"/>
    <s v="Green"/>
  </r>
  <r>
    <n v="260934279"/>
    <s v="Hüseyin"/>
    <s v="Male"/>
    <d v="2031-06-28T00:00:00"/>
    <n v="3090"/>
    <n v="14"/>
    <n v="4.4999999999999997E-3"/>
    <n v="4.5307443365695792E-3"/>
    <x v="0"/>
    <n v="45"/>
    <n v="139050"/>
    <s v="EUR"/>
    <x v="2"/>
    <x v="7"/>
    <n v="0.2"/>
    <x v="1"/>
    <s v="Teal"/>
  </r>
  <r>
    <n v="72932923"/>
    <s v="Canan"/>
    <s v="Female"/>
    <d v="2030-05-21T00:00:00"/>
    <n v="4514"/>
    <n v="18"/>
    <n v="4.0000000000000001E-3"/>
    <n v="3.9875941515285776E-3"/>
    <x v="0"/>
    <n v="46"/>
    <n v="207644"/>
    <s v="EUR"/>
    <x v="3"/>
    <x v="8"/>
    <n v="0.2"/>
    <x v="0"/>
    <s v="Blue"/>
  </r>
  <r>
    <n v="796671823"/>
    <s v="Cansu"/>
    <s v="Female"/>
    <d v="2030-07-23T00:00:00"/>
    <n v="4751"/>
    <n v="41"/>
    <n v="8.6E-3"/>
    <n v="8.6297621553357191E-3"/>
    <x v="0"/>
    <n v="35"/>
    <n v="166285"/>
    <s v="EUR"/>
    <x v="4"/>
    <x v="10"/>
    <n v="0.2"/>
    <x v="1"/>
    <s v="Mauv"/>
  </r>
  <r>
    <n v="747536355"/>
    <s v="Kenan"/>
    <s v="Male"/>
    <d v="2030-08-25T00:00:00"/>
    <n v="3353"/>
    <n v="12"/>
    <n v="3.5999999999999999E-3"/>
    <n v="3.5788845809722638E-3"/>
    <x v="0"/>
    <n v="29"/>
    <n v="97237"/>
    <s v="EUR"/>
    <x v="5"/>
    <x v="0"/>
    <n v="0.2"/>
    <x v="0"/>
    <s v="Maroon"/>
  </r>
  <r>
    <n v="302475099"/>
    <s v="Mirza"/>
    <s v="Male"/>
    <d v="2031-03-05T00:00:00"/>
    <n v="1933"/>
    <n v="26"/>
    <n v="1.35E-2"/>
    <n v="1.3450594930160372E-2"/>
    <x v="0"/>
    <n v="20"/>
    <n v="38660"/>
    <s v="EUR"/>
    <x v="6"/>
    <x v="7"/>
    <n v="0.2"/>
    <x v="0"/>
    <s v="Yellow"/>
  </r>
  <r>
    <n v="326782196"/>
    <s v="Ebrar"/>
    <s v="Female"/>
    <d v="2032-06-10T00:00:00"/>
    <n v="3940"/>
    <n v="37"/>
    <n v="9.4000000000000004E-3"/>
    <n v="9.3908629441624373E-3"/>
    <x v="2"/>
    <n v="33"/>
    <n v="130020"/>
    <s v="EUR"/>
    <x v="6"/>
    <x v="8"/>
    <n v="0.2"/>
    <x v="0"/>
    <s v="Violet"/>
  </r>
  <r>
    <n v="899961615"/>
    <s v="Semih"/>
    <s v="Male"/>
    <d v="2030-01-28T00:00:00"/>
    <n v="4848"/>
    <n v="41"/>
    <n v="8.5000000000000006E-3"/>
    <n v="8.4570957095709571E-3"/>
    <x v="0"/>
    <n v="33"/>
    <n v="159984"/>
    <s v="EUR"/>
    <x v="7"/>
    <x v="2"/>
    <n v="0.2"/>
    <x v="0"/>
    <s v="Crimson"/>
  </r>
  <r>
    <n v="873719539"/>
    <s v="Sevcan"/>
    <s v="Female"/>
    <d v="2030-10-20T00:00:00"/>
    <n v="4881"/>
    <n v="27"/>
    <n v="5.4999999999999997E-3"/>
    <n v="5.531653349723417E-3"/>
    <x v="0"/>
    <n v="50"/>
    <n v="244050"/>
    <s v="EUR"/>
    <x v="8"/>
    <x v="9"/>
    <n v="0.2"/>
    <x v="0"/>
    <s v="Mauv"/>
  </r>
  <r>
    <n v="351607604"/>
    <s v="Sevtap"/>
    <s v="Female"/>
    <d v="2032-06-18T00:00:00"/>
    <n v="3025"/>
    <n v="44"/>
    <n v="1.4500000000000001E-2"/>
    <n v="1.4545454545454545E-2"/>
    <x v="0"/>
    <n v="30"/>
    <n v="90750"/>
    <s v="EUR"/>
    <x v="9"/>
    <x v="8"/>
    <n v="0.2"/>
    <x v="1"/>
    <s v="Mauv"/>
  </r>
  <r>
    <n v="815452492"/>
    <s v="Kemal"/>
    <s v="Male"/>
    <d v="2032-02-17T00:00:00"/>
    <n v="3684"/>
    <n v="10"/>
    <n v="2.7000000000000001E-3"/>
    <n v="2.7144408251900108E-3"/>
    <x v="0"/>
    <n v="32"/>
    <n v="117888"/>
    <s v="EUR"/>
    <x v="10"/>
    <x v="4"/>
    <n v="0.2"/>
    <x v="0"/>
    <s v="Goldenrod"/>
  </r>
  <r>
    <n v="498352952"/>
    <s v="Resul"/>
    <s v="Male"/>
    <d v="2031-09-10T00:00:00"/>
    <n v="3933"/>
    <n v="18"/>
    <n v="4.5999999999999999E-3"/>
    <n v="4.5766590389016018E-3"/>
    <x v="1"/>
    <n v="27"/>
    <n v="106191"/>
    <s v="EUR"/>
    <x v="11"/>
    <x v="6"/>
    <n v="0.2"/>
    <x v="0"/>
    <s v="Turquoise"/>
  </r>
  <r>
    <n v="504790159"/>
    <s v="Beşir"/>
    <s v="Male"/>
    <d v="2032-11-14T00:00:00"/>
    <n v="4394"/>
    <n v="45"/>
    <n v="1.0200000000000001E-2"/>
    <n v="1.0241238051888939E-2"/>
    <x v="0"/>
    <n v="50"/>
    <n v="219700"/>
    <s v="EUR"/>
    <x v="12"/>
    <x v="9"/>
    <n v="0.2"/>
    <x v="0"/>
    <s v="Maroon"/>
  </r>
  <r>
    <n v="103920935"/>
    <s v="Yusuf"/>
    <s v="Male"/>
    <d v="2032-01-10T00:00:00"/>
    <n v="2136"/>
    <n v="35"/>
    <n v="1.6400000000000001E-2"/>
    <n v="1.6385767790262171E-2"/>
    <x v="1"/>
    <n v="37"/>
    <n v="79032"/>
    <s v="EUR"/>
    <x v="13"/>
    <x v="8"/>
    <n v="0.2"/>
    <x v="0"/>
    <s v="Yellow"/>
  </r>
  <r>
    <n v="693007312"/>
    <s v="Soner"/>
    <s v="Male"/>
    <d v="2031-04-21T00:00:00"/>
    <n v="2130"/>
    <n v="44"/>
    <n v="2.07E-2"/>
    <n v="2.0657276995305163E-2"/>
    <x v="0"/>
    <n v="32"/>
    <n v="68160"/>
    <s v="EUR"/>
    <x v="14"/>
    <x v="10"/>
    <n v="0.2"/>
    <x v="0"/>
    <s v="Khaki"/>
  </r>
  <r>
    <n v="323031393"/>
    <s v="Hüseyin"/>
    <s v="Male"/>
    <d v="2030-11-06T00:00:00"/>
    <n v="2432"/>
    <n v="42"/>
    <n v="1.7299999999999999E-2"/>
    <n v="1.7269736842105265E-2"/>
    <x v="0"/>
    <n v="29"/>
    <n v="70528"/>
    <s v="EUR"/>
    <x v="0"/>
    <x v="2"/>
    <n v="0.2"/>
    <x v="1"/>
    <s v="Fuscia"/>
  </r>
  <r>
    <n v="562747119"/>
    <s v="Canan"/>
    <s v="Female"/>
    <d v="2032-10-04T00:00:00"/>
    <n v="2241"/>
    <n v="31"/>
    <n v="1.38E-2"/>
    <n v="1.3833110218652387E-2"/>
    <x v="0"/>
    <n v="44"/>
    <n v="98604"/>
    <s v="EUR"/>
    <x v="1"/>
    <x v="3"/>
    <n v="0.2"/>
    <x v="0"/>
    <s v="Pink"/>
  </r>
  <r>
    <n v="130556097"/>
    <s v="Cansu"/>
    <s v="Female"/>
    <d v="2032-03-19T00:00:00"/>
    <n v="2728"/>
    <n v="50"/>
    <n v="1.83E-2"/>
    <n v="1.8328445747800588E-2"/>
    <x v="0"/>
    <n v="32"/>
    <n v="87296"/>
    <s v="EUR"/>
    <x v="2"/>
    <x v="5"/>
    <n v="0.2"/>
    <x v="1"/>
    <s v="Violet"/>
  </r>
  <r>
    <n v="968380166"/>
    <s v="Kenan"/>
    <s v="Male"/>
    <d v="2031-12-11T00:00:00"/>
    <n v="4812"/>
    <n v="21"/>
    <n v="4.4000000000000003E-3"/>
    <n v="4.3640897755610969E-3"/>
    <x v="0"/>
    <n v="27"/>
    <n v="129924"/>
    <s v="EUR"/>
    <x v="3"/>
    <x v="5"/>
    <n v="0.2"/>
    <x v="0"/>
    <s v="Maroon"/>
  </r>
  <r>
    <n v="177088758"/>
    <s v="Mirza"/>
    <s v="Male"/>
    <d v="2030-05-17T00:00:00"/>
    <n v="1428"/>
    <n v="34"/>
    <n v="2.3800000000000002E-2"/>
    <n v="2.3809523809523808E-2"/>
    <x v="0"/>
    <n v="23"/>
    <n v="32844"/>
    <s v="EUR"/>
    <x v="4"/>
    <x v="9"/>
    <n v="0.2"/>
    <x v="0"/>
    <s v="Puce"/>
  </r>
  <r>
    <n v="383293395"/>
    <s v="Ebrar"/>
    <s v="Female"/>
    <d v="2032-06-23T00:00:00"/>
    <n v="2077"/>
    <n v="36"/>
    <n v="1.7299999999999999E-2"/>
    <n v="1.7332691381800675E-2"/>
    <x v="0"/>
    <n v="40"/>
    <n v="83080"/>
    <s v="EUR"/>
    <x v="5"/>
    <x v="10"/>
    <n v="0.2"/>
    <x v="1"/>
    <s v="Goldenrod"/>
  </r>
  <r>
    <n v="562839063"/>
    <s v="Semih"/>
    <s v="Male"/>
    <d v="2030-07-05T00:00:00"/>
    <n v="1715"/>
    <n v="23"/>
    <n v="1.34E-2"/>
    <n v="1.3411078717201166E-2"/>
    <x v="0"/>
    <n v="28"/>
    <n v="48020"/>
    <s v="EUR"/>
    <x v="6"/>
    <x v="7"/>
    <n v="0.2"/>
    <x v="0"/>
    <s v="Fuscia"/>
  </r>
  <r>
    <n v="476294540"/>
    <s v="Sevcan"/>
    <s v="Female"/>
    <d v="2030-04-22T00:00:00"/>
    <n v="3762"/>
    <n v="42"/>
    <n v="1.12E-2"/>
    <n v="1.1164274322169059E-2"/>
    <x v="0"/>
    <n v="24"/>
    <n v="90288"/>
    <s v="EUR"/>
    <x v="6"/>
    <x v="9"/>
    <n v="0.2"/>
    <x v="1"/>
    <s v="Orange"/>
  </r>
  <r>
    <n v="563366580"/>
    <s v="Sevtap"/>
    <s v="Female"/>
    <d v="2032-10-09T00:00:00"/>
    <n v="1784"/>
    <n v="38"/>
    <n v="2.1299999999999999E-2"/>
    <n v="2.1300448430493273E-2"/>
    <x v="0"/>
    <n v="33"/>
    <n v="58872"/>
    <s v="EUR"/>
    <x v="7"/>
    <x v="8"/>
    <n v="0.2"/>
    <x v="0"/>
    <s v="Orange"/>
  </r>
  <r>
    <n v="844285958"/>
    <s v="Kemal"/>
    <s v="Male"/>
    <d v="2032-08-05T00:00:00"/>
    <n v="1399"/>
    <n v="40"/>
    <n v="2.86E-2"/>
    <n v="2.8591851322373123E-2"/>
    <x v="0"/>
    <n v="43"/>
    <n v="60157"/>
    <s v="EUR"/>
    <x v="8"/>
    <x v="3"/>
    <n v="0.2"/>
    <x v="1"/>
    <s v="Red"/>
  </r>
  <r>
    <n v="952664542"/>
    <s v="Resul"/>
    <s v="Male"/>
    <d v="2032-07-17T00:00:00"/>
    <n v="4928"/>
    <n v="33"/>
    <n v="6.7000000000000002E-3"/>
    <n v="6.6964285714285711E-3"/>
    <x v="0"/>
    <n v="49"/>
    <n v="241472"/>
    <s v="EUR"/>
    <x v="9"/>
    <x v="3"/>
    <n v="0.2"/>
    <x v="0"/>
    <s v="Aquamarine"/>
  </r>
  <r>
    <n v="723294546"/>
    <s v="Beşir"/>
    <s v="Male"/>
    <d v="2031-07-22T00:00:00"/>
    <n v="3819"/>
    <n v="11"/>
    <n v="2.8999999999999998E-3"/>
    <n v="2.8803351662738939E-3"/>
    <x v="0"/>
    <n v="28"/>
    <n v="106932"/>
    <s v="EUR"/>
    <x v="10"/>
    <x v="9"/>
    <n v="0.2"/>
    <x v="1"/>
    <s v="Turquoise"/>
  </r>
  <r>
    <n v="719915464"/>
    <s v="Yusuf"/>
    <s v="Male"/>
    <d v="2031-07-05T00:00:00"/>
    <n v="4948"/>
    <n v="28"/>
    <n v="5.7000000000000002E-3"/>
    <n v="5.6588520614389648E-3"/>
    <x v="0"/>
    <n v="42"/>
    <n v="207816"/>
    <s v="EUR"/>
    <x v="11"/>
    <x v="8"/>
    <n v="0.2"/>
    <x v="1"/>
    <s v="Indigo"/>
  </r>
  <r>
    <n v="566572131"/>
    <s v="Soner"/>
    <s v="Male"/>
    <d v="2031-09-17T00:00:00"/>
    <n v="4329"/>
    <n v="44"/>
    <n v="1.0200000000000001E-2"/>
    <n v="1.0164010164010164E-2"/>
    <x v="0"/>
    <n v="27"/>
    <n v="116883"/>
    <s v="EUR"/>
    <x v="12"/>
    <x v="0"/>
    <n v="0.2"/>
    <x v="1"/>
    <s v="Puce"/>
  </r>
  <r>
    <n v="467597559"/>
    <s v="Ali"/>
    <s v="Male"/>
    <d v="2031-09-10T00:00:00"/>
    <n v="4094"/>
    <n v="10"/>
    <n v="2.3999999999999998E-3"/>
    <n v="2.4425989252564728E-3"/>
    <x v="0"/>
    <n v="29"/>
    <n v="118726"/>
    <s v="EUR"/>
    <x v="13"/>
    <x v="8"/>
    <n v="0.2"/>
    <x v="0"/>
    <s v="Violet"/>
  </r>
  <r>
    <n v="952054979"/>
    <s v="Hasan"/>
    <s v="Male"/>
    <d v="2031-08-04T00:00:00"/>
    <n v="4744"/>
    <n v="11"/>
    <n v="2.3E-3"/>
    <n v="2.3187183811129849E-3"/>
    <x v="0"/>
    <n v="48"/>
    <n v="227712"/>
    <s v="EUR"/>
    <x v="14"/>
    <x v="10"/>
    <n v="0.2"/>
    <x v="0"/>
    <s v="Blue"/>
  </r>
  <r>
    <n v="362021707"/>
    <s v="Hüseyin"/>
    <s v="Male"/>
    <d v="2031-05-11T00:00:00"/>
    <n v="3718"/>
    <n v="50"/>
    <n v="1.34E-2"/>
    <n v="1.3448090371167294E-2"/>
    <x v="0"/>
    <n v="22"/>
    <n v="81796"/>
    <s v="EUR"/>
    <x v="0"/>
    <x v="2"/>
    <n v="0.2"/>
    <x v="0"/>
    <s v="Orange"/>
  </r>
  <r>
    <n v="511326224"/>
    <s v="Canan"/>
    <s v="Female"/>
    <d v="2031-12-25T00:00:00"/>
    <n v="1094"/>
    <n v="44"/>
    <n v="4.02E-2"/>
    <n v="4.0219378427787937E-2"/>
    <x v="0"/>
    <n v="37"/>
    <n v="40478"/>
    <s v="EUR"/>
    <x v="1"/>
    <x v="8"/>
    <n v="0.2"/>
    <x v="0"/>
    <s v="Goldenrod"/>
  </r>
  <r>
    <n v="643217276"/>
    <s v="Cansu"/>
    <s v="Female"/>
    <d v="2032-11-25T00:00:00"/>
    <n v="2697"/>
    <n v="39"/>
    <n v="1.4500000000000001E-2"/>
    <n v="1.4460511679644048E-2"/>
    <x v="0"/>
    <n v="26"/>
    <n v="70122"/>
    <s v="EUR"/>
    <x v="2"/>
    <x v="1"/>
    <n v="0.2"/>
    <x v="1"/>
    <s v="Maroon"/>
  </r>
  <r>
    <n v="843094642"/>
    <s v="Kenan"/>
    <s v="Male"/>
    <d v="2032-08-22T00:00:00"/>
    <n v="2337"/>
    <n v="33"/>
    <n v="1.41E-2"/>
    <n v="1.4120667522464698E-2"/>
    <x v="0"/>
    <n v="34"/>
    <n v="79458"/>
    <s v="EUR"/>
    <x v="3"/>
    <x v="0"/>
    <n v="0.2"/>
    <x v="0"/>
    <s v="Goldenrod"/>
  </r>
  <r>
    <n v="341844679"/>
    <s v="Mirza"/>
    <s v="Male"/>
    <d v="2030-03-20T00:00:00"/>
    <n v="2859"/>
    <n v="40"/>
    <n v="1.4E-2"/>
    <n v="1.3990905911157748E-2"/>
    <x v="0"/>
    <n v="36"/>
    <n v="102924"/>
    <s v="EUR"/>
    <x v="4"/>
    <x v="7"/>
    <n v="0.2"/>
    <x v="0"/>
    <s v="Khaki"/>
  </r>
  <r>
    <n v="599736618"/>
    <s v="Ebrar"/>
    <s v="Female"/>
    <d v="2030-11-24T00:00:00"/>
    <n v="4009"/>
    <n v="41"/>
    <n v="1.0200000000000001E-2"/>
    <n v="1.0226989274133201E-2"/>
    <x v="0"/>
    <n v="29"/>
    <n v="116261"/>
    <s v="EUR"/>
    <x v="5"/>
    <x v="6"/>
    <n v="0.2"/>
    <x v="0"/>
    <s v="Orange"/>
  </r>
  <r>
    <n v="506299926"/>
    <s v="Semih"/>
    <s v="Male"/>
    <d v="2031-03-04T00:00:00"/>
    <n v="3912"/>
    <n v="25"/>
    <n v="6.4000000000000003E-3"/>
    <n v="6.3905930470347649E-3"/>
    <x v="0"/>
    <n v="23"/>
    <n v="89976"/>
    <s v="EUR"/>
    <x v="6"/>
    <x v="5"/>
    <n v="0.2"/>
    <x v="1"/>
    <s v="Khaki"/>
  </r>
  <r>
    <n v="558759770"/>
    <s v="Sevcan"/>
    <s v="Female"/>
    <d v="2031-07-07T00:00:00"/>
    <n v="3090"/>
    <n v="20"/>
    <n v="6.4999999999999997E-3"/>
    <n v="6.4724919093851136E-3"/>
    <x v="0"/>
    <n v="48"/>
    <n v="148320"/>
    <s v="EUR"/>
    <x v="6"/>
    <x v="4"/>
    <n v="0.2"/>
    <x v="0"/>
    <s v="Mauv"/>
  </r>
  <r>
    <n v="1139850"/>
    <s v="Sevtap"/>
    <s v="Female"/>
    <d v="2031-11-03T00:00:00"/>
    <n v="2107"/>
    <n v="33"/>
    <n v="1.5699999999999999E-2"/>
    <n v="1.5662078785002372E-2"/>
    <x v="0"/>
    <n v="45"/>
    <n v="94815"/>
    <s v="EUR"/>
    <x v="7"/>
    <x v="0"/>
    <n v="0.2"/>
    <x v="1"/>
    <s v="Goldenrod"/>
  </r>
  <r>
    <n v="219129106"/>
    <s v="Kemal"/>
    <s v="Male"/>
    <d v="2030-09-26T00:00:00"/>
    <n v="1384"/>
    <n v="23"/>
    <n v="1.66E-2"/>
    <n v="1.6618497109826588E-2"/>
    <x v="0"/>
    <n v="32"/>
    <n v="44288"/>
    <s v="EUR"/>
    <x v="8"/>
    <x v="2"/>
    <n v="0.2"/>
    <x v="0"/>
    <s v="Purple"/>
  </r>
  <r>
    <n v="813589020"/>
    <s v="Resul"/>
    <s v="Male"/>
    <d v="2031-09-04T00:00:00"/>
    <n v="4646"/>
    <n v="32"/>
    <n v="6.8999999999999999E-3"/>
    <n v="6.8876452862677573E-3"/>
    <x v="0"/>
    <n v="32"/>
    <n v="148672"/>
    <s v="EUR"/>
    <x v="9"/>
    <x v="1"/>
    <n v="0.2"/>
    <x v="1"/>
    <s v="Blue"/>
  </r>
  <r>
    <n v="114274814"/>
    <s v="Beşir"/>
    <s v="Male"/>
    <d v="2032-11-03T00:00:00"/>
    <n v="1631"/>
    <n v="29"/>
    <n v="1.78E-2"/>
    <n v="1.7780502759043533E-2"/>
    <x v="0"/>
    <n v="50"/>
    <n v="81550"/>
    <s v="EUR"/>
    <x v="10"/>
    <x v="10"/>
    <n v="0.2"/>
    <x v="0"/>
    <s v="Teal"/>
  </r>
  <r>
    <n v="544757938"/>
    <s v="Yusuf"/>
    <s v="Male"/>
    <d v="2031-03-06T00:00:00"/>
    <n v="1033"/>
    <n v="26"/>
    <n v="2.52E-2"/>
    <n v="2.516940948693127E-2"/>
    <x v="0"/>
    <n v="29"/>
    <n v="29957"/>
    <s v="EUR"/>
    <x v="11"/>
    <x v="8"/>
    <n v="0.2"/>
    <x v="0"/>
    <s v="Maroon"/>
  </r>
  <r>
    <n v="894772978"/>
    <s v="Soner"/>
    <s v="Male"/>
    <d v="2032-04-09T00:00:00"/>
    <n v="4585"/>
    <n v="33"/>
    <n v="7.1999999999999998E-3"/>
    <n v="7.1973827699018536E-3"/>
    <x v="0"/>
    <n v="20"/>
    <n v="91700"/>
    <s v="EUR"/>
    <x v="12"/>
    <x v="0"/>
    <n v="0.2"/>
    <x v="1"/>
    <s v="Turquoise"/>
  </r>
  <r>
    <n v="186781810"/>
    <s v="Ali"/>
    <s v="Male"/>
    <d v="2031-12-15T00:00:00"/>
    <n v="2329"/>
    <n v="26"/>
    <n v="1.12E-2"/>
    <n v="1.11635895234006E-2"/>
    <x v="0"/>
    <n v="20"/>
    <n v="46580"/>
    <s v="EUR"/>
    <x v="13"/>
    <x v="0"/>
    <n v="0.2"/>
    <x v="1"/>
    <s v="Turquoise"/>
  </r>
  <r>
    <n v="757217956"/>
    <s v="Hasan"/>
    <s v="Male"/>
    <d v="2030-04-23T00:00:00"/>
    <n v="2926"/>
    <n v="24"/>
    <n v="8.2000000000000007E-3"/>
    <n v="8.2023239917976762E-3"/>
    <x v="0"/>
    <n v="40"/>
    <n v="117040"/>
    <s v="EUR"/>
    <x v="14"/>
    <x v="10"/>
    <n v="0.2"/>
    <x v="0"/>
    <s v="Pink"/>
  </r>
  <r>
    <n v="417388868"/>
    <s v="Hüseyin"/>
    <s v="Male"/>
    <d v="2032-09-09T00:00:00"/>
    <n v="3450"/>
    <n v="48"/>
    <n v="1.3899999999999999E-2"/>
    <n v="1.391304347826087E-2"/>
    <x v="0"/>
    <n v="32"/>
    <n v="110400"/>
    <s v="EUR"/>
    <x v="0"/>
    <x v="1"/>
    <n v="0.2"/>
    <x v="0"/>
    <s v="Purple"/>
  </r>
  <r>
    <n v="2962900"/>
    <s v="Canan"/>
    <s v="Female"/>
    <d v="2032-09-10T00:00:00"/>
    <n v="4205"/>
    <n v="11"/>
    <n v="2.5999999999999999E-3"/>
    <n v="2.6159334126040429E-3"/>
    <x v="0"/>
    <n v="25"/>
    <n v="105125"/>
    <s v="EUR"/>
    <x v="1"/>
    <x v="6"/>
    <n v="0.2"/>
    <x v="1"/>
    <s v="Pink"/>
  </r>
  <r>
    <n v="492280716"/>
    <s v="Cansu"/>
    <s v="Female"/>
    <d v="2030-02-28T00:00:00"/>
    <n v="4368"/>
    <n v="21"/>
    <n v="4.7999999999999996E-3"/>
    <n v="4.807692307692308E-3"/>
    <x v="0"/>
    <n v="30"/>
    <n v="131040"/>
    <s v="EUR"/>
    <x v="2"/>
    <x v="8"/>
    <n v="0.2"/>
    <x v="1"/>
    <s v="Fuscia"/>
  </r>
  <r>
    <n v="38426657"/>
    <s v="Kenan"/>
    <s v="Male"/>
    <d v="2031-07-01T00:00:00"/>
    <n v="4457"/>
    <n v="43"/>
    <n v="9.5999999999999992E-3"/>
    <n v="9.6477451200358989E-3"/>
    <x v="0"/>
    <n v="30"/>
    <n v="133710"/>
    <s v="EUR"/>
    <x v="3"/>
    <x v="0"/>
    <n v="0.2"/>
    <x v="0"/>
    <s v="Maroon"/>
  </r>
  <r>
    <n v="303867884"/>
    <s v="Mirza"/>
    <s v="Male"/>
    <d v="2032-07-16T00:00:00"/>
    <n v="1397"/>
    <n v="45"/>
    <n v="3.2199999999999999E-2"/>
    <n v="3.2211882605583393E-2"/>
    <x v="0"/>
    <n v="25"/>
    <n v="34925"/>
    <s v="EUR"/>
    <x v="4"/>
    <x v="0"/>
    <n v="0.2"/>
    <x v="1"/>
    <s v="Khaki"/>
  </r>
  <r>
    <n v="477244504"/>
    <s v="Ebrar"/>
    <s v="Female"/>
    <d v="2031-07-22T00:00:00"/>
    <n v="1814"/>
    <n v="23"/>
    <n v="1.2699999999999999E-2"/>
    <n v="1.2679162072767364E-2"/>
    <x v="0"/>
    <n v="22"/>
    <n v="39908"/>
    <s v="EUR"/>
    <x v="5"/>
    <x v="2"/>
    <n v="0.2"/>
    <x v="0"/>
    <s v="Khaki"/>
  </r>
  <r>
    <n v="851286247"/>
    <s v="Semih"/>
    <s v="Male"/>
    <d v="2031-02-23T00:00:00"/>
    <n v="1539"/>
    <n v="30"/>
    <n v="1.95E-2"/>
    <n v="1.9493177387914229E-2"/>
    <x v="0"/>
    <n v="32"/>
    <n v="49248"/>
    <s v="EUR"/>
    <x v="6"/>
    <x v="10"/>
    <n v="0.2"/>
    <x v="0"/>
    <s v="Teal"/>
  </r>
  <r>
    <n v="891725493"/>
    <s v="Sevcan"/>
    <s v="Female"/>
    <d v="2030-01-06T00:00:00"/>
    <n v="2969"/>
    <n v="39"/>
    <n v="1.3100000000000001E-2"/>
    <n v="1.3135735938026272E-2"/>
    <x v="0"/>
    <n v="37"/>
    <n v="109853"/>
    <s v="EUR"/>
    <x v="6"/>
    <x v="1"/>
    <n v="0.2"/>
    <x v="1"/>
    <s v="Crimson"/>
  </r>
  <r>
    <n v="8705060"/>
    <s v="Sevtap"/>
    <s v="Female"/>
    <d v="2032-11-05T00:00:00"/>
    <n v="2999"/>
    <n v="42"/>
    <n v="1.4E-2"/>
    <n v="1.4004668222740914E-2"/>
    <x v="0"/>
    <n v="34"/>
    <n v="101966"/>
    <s v="EUR"/>
    <x v="7"/>
    <x v="3"/>
    <n v="0.2"/>
    <x v="0"/>
    <s v="Red"/>
  </r>
  <r>
    <n v="818440994"/>
    <s v="Kemal"/>
    <s v="Male"/>
    <d v="2031-10-20T00:00:00"/>
    <n v="3507"/>
    <n v="43"/>
    <n v="1.23E-2"/>
    <n v="1.2261191901910464E-2"/>
    <x v="0"/>
    <n v="29"/>
    <n v="101703"/>
    <s v="EUR"/>
    <x v="8"/>
    <x v="6"/>
    <n v="0.2"/>
    <x v="0"/>
    <s v="Indigo"/>
  </r>
  <r>
    <n v="527390654"/>
    <s v="Resul"/>
    <s v="Male"/>
    <d v="2031-04-21T00:00:00"/>
    <n v="4428"/>
    <n v="39"/>
    <n v="8.8000000000000005E-3"/>
    <n v="8.8075880758807581E-3"/>
    <x v="1"/>
    <n v="37"/>
    <n v="163836"/>
    <s v="EUR"/>
    <x v="9"/>
    <x v="2"/>
    <n v="0.2"/>
    <x v="0"/>
    <s v="Khaki"/>
  </r>
  <r>
    <n v="696600825"/>
    <s v="Hüseyin"/>
    <s v="Male"/>
    <d v="2032-07-02T00:00:00"/>
    <n v="3742"/>
    <n v="39"/>
    <n v="1.04E-2"/>
    <n v="1.042223409941208E-2"/>
    <x v="0"/>
    <n v="37"/>
    <n v="138454"/>
    <s v="EUR"/>
    <x v="10"/>
    <x v="0"/>
    <n v="0.2"/>
    <x v="0"/>
    <s v="Teal"/>
  </r>
  <r>
    <n v="887570927"/>
    <s v="Canan"/>
    <s v="Female"/>
    <d v="2030-08-05T00:00:00"/>
    <n v="3367"/>
    <n v="22"/>
    <n v="6.4999999999999997E-3"/>
    <n v="6.5340065340065336E-3"/>
    <x v="0"/>
    <n v="42"/>
    <n v="141414"/>
    <s v="EUR"/>
    <x v="11"/>
    <x v="10"/>
    <n v="0.2"/>
    <x v="0"/>
    <s v="Crimson"/>
  </r>
  <r>
    <n v="509430066"/>
    <s v="Cansu"/>
    <s v="Female"/>
    <d v="2031-12-11T00:00:00"/>
    <n v="4536"/>
    <n v="26"/>
    <n v="5.7000000000000002E-3"/>
    <n v="5.7319223985890649E-3"/>
    <x v="0"/>
    <n v="29"/>
    <n v="131544"/>
    <s v="EUR"/>
    <x v="12"/>
    <x v="4"/>
    <n v="0.2"/>
    <x v="0"/>
    <s v="Aquamarine"/>
  </r>
  <r>
    <n v="68254802"/>
    <s v="Kenan"/>
    <s v="Male"/>
    <d v="2032-08-18T00:00:00"/>
    <n v="3851"/>
    <n v="35"/>
    <n v="9.1000000000000004E-3"/>
    <n v="9.0885484289794857E-3"/>
    <x v="0"/>
    <n v="23"/>
    <n v="88573"/>
    <s v="EUR"/>
    <x v="13"/>
    <x v="1"/>
    <n v="0.2"/>
    <x v="1"/>
    <s v="Orange"/>
  </r>
  <r>
    <n v="719188189"/>
    <s v="Mirza"/>
    <s v="Male"/>
    <d v="2032-07-18T00:00:00"/>
    <n v="3865"/>
    <n v="40"/>
    <n v="1.03E-2"/>
    <n v="1.034928848641656E-2"/>
    <x v="0"/>
    <n v="36"/>
    <n v="139140"/>
    <s v="EUR"/>
    <x v="14"/>
    <x v="8"/>
    <n v="0.2"/>
    <x v="0"/>
    <s v="Green"/>
  </r>
  <r>
    <n v="998534972"/>
    <s v="Ebrar"/>
    <s v="Female"/>
    <d v="2032-05-18T00:00:00"/>
    <n v="1665"/>
    <n v="25"/>
    <n v="1.4999999999999999E-2"/>
    <n v="1.5015015015015015E-2"/>
    <x v="0"/>
    <n v="25"/>
    <n v="41625"/>
    <s v="EUR"/>
    <x v="0"/>
    <x v="2"/>
    <n v="0.2"/>
    <x v="0"/>
    <s v="Pink"/>
  </r>
  <r>
    <n v="460089503"/>
    <s v="Semih"/>
    <s v="Male"/>
    <d v="2031-11-02T00:00:00"/>
    <n v="4587"/>
    <n v="24"/>
    <n v="5.1999999999999998E-3"/>
    <n v="5.232177894048398E-3"/>
    <x v="0"/>
    <n v="48"/>
    <n v="220176"/>
    <s v="EUR"/>
    <x v="1"/>
    <x v="2"/>
    <n v="0.2"/>
    <x v="1"/>
    <s v="Orange"/>
  </r>
  <r>
    <n v="761840246"/>
    <s v="Sevcan"/>
    <s v="Female"/>
    <d v="2031-10-01T00:00:00"/>
    <n v="4237"/>
    <n v="30"/>
    <n v="7.1000000000000004E-3"/>
    <n v="7.0804814727401461E-3"/>
    <x v="0"/>
    <n v="44"/>
    <n v="186428"/>
    <s v="EUR"/>
    <x v="2"/>
    <x v="4"/>
    <n v="0.2"/>
    <x v="1"/>
    <s v="Teal"/>
  </r>
  <r>
    <n v="519647027"/>
    <s v="Sevtap"/>
    <s v="Female"/>
    <d v="2030-01-15T00:00:00"/>
    <n v="1841"/>
    <n v="23"/>
    <n v="1.2500000000000001E-2"/>
    <n v="1.2493210211841391E-2"/>
    <x v="0"/>
    <n v="40"/>
    <n v="73640"/>
    <s v="EUR"/>
    <x v="3"/>
    <x v="10"/>
    <n v="0.2"/>
    <x v="1"/>
    <s v="Orange"/>
  </r>
  <r>
    <n v="864173653"/>
    <s v="Kemal"/>
    <s v="Male"/>
    <d v="2030-08-04T00:00:00"/>
    <n v="4451"/>
    <n v="34"/>
    <n v="7.6E-3"/>
    <n v="7.6387328690181982E-3"/>
    <x v="0"/>
    <n v="30"/>
    <n v="133530"/>
    <s v="EUR"/>
    <x v="4"/>
    <x v="8"/>
    <n v="0.2"/>
    <x v="1"/>
    <s v="Teal"/>
  </r>
  <r>
    <n v="157409899"/>
    <s v="Resul"/>
    <s v="Male"/>
    <d v="2031-10-02T00:00:00"/>
    <n v="3476"/>
    <n v="38"/>
    <n v="1.09E-2"/>
    <n v="1.0932105868814729E-2"/>
    <x v="0"/>
    <n v="48"/>
    <n v="166848"/>
    <s v="EUR"/>
    <x v="5"/>
    <x v="10"/>
    <n v="0.2"/>
    <x v="1"/>
    <s v="Violet"/>
  </r>
  <r>
    <n v="347605193"/>
    <s v="Beşir"/>
    <s v="Male"/>
    <d v="2030-11-27T00:00:00"/>
    <n v="1618"/>
    <n v="34"/>
    <n v="2.1000000000000001E-2"/>
    <n v="2.1013597033374538E-2"/>
    <x v="0"/>
    <n v="37"/>
    <n v="59866"/>
    <s v="EUR"/>
    <x v="6"/>
    <x v="0"/>
    <n v="0.2"/>
    <x v="1"/>
    <s v="Green"/>
  </r>
  <r>
    <n v="678386064"/>
    <s v="Yusuf"/>
    <s v="Male"/>
    <d v="2031-04-03T00:00:00"/>
    <n v="4073"/>
    <n v="28"/>
    <n v="6.8999999999999999E-3"/>
    <n v="6.8745396513626321E-3"/>
    <x v="0"/>
    <n v="28"/>
    <n v="114044"/>
    <s v="EUR"/>
    <x v="6"/>
    <x v="5"/>
    <n v="0.2"/>
    <x v="1"/>
    <s v="Yellow"/>
  </r>
  <r>
    <n v="3678366"/>
    <s v="Soner"/>
    <s v="Male"/>
    <d v="2032-03-08T00:00:00"/>
    <n v="1526"/>
    <n v="24"/>
    <n v="1.5699999999999999E-2"/>
    <n v="1.5727391874180863E-2"/>
    <x v="0"/>
    <n v="28"/>
    <n v="42728"/>
    <s v="EUR"/>
    <x v="7"/>
    <x v="3"/>
    <n v="0.2"/>
    <x v="0"/>
    <s v="Green"/>
  </r>
  <r>
    <n v="858071449"/>
    <s v="Ali"/>
    <s v="Male"/>
    <d v="2030-06-21T00:00:00"/>
    <n v="4721"/>
    <n v="45"/>
    <n v="9.4999999999999998E-3"/>
    <n v="9.5318788392289768E-3"/>
    <x v="0"/>
    <n v="36"/>
    <n v="169956"/>
    <s v="EUR"/>
    <x v="8"/>
    <x v="10"/>
    <n v="0.2"/>
    <x v="0"/>
    <s v="Aquamarine"/>
  </r>
  <r>
    <n v="912263014"/>
    <s v="Hasan"/>
    <s v="Male"/>
    <d v="2030-05-29T00:00:00"/>
    <n v="2069"/>
    <n v="31"/>
    <n v="1.4999999999999999E-2"/>
    <n v="1.4983083615273078E-2"/>
    <x v="1"/>
    <n v="40"/>
    <n v="82760"/>
    <s v="EUR"/>
    <x v="9"/>
    <x v="0"/>
    <n v="0.2"/>
    <x v="0"/>
    <s v="Puce"/>
  </r>
  <r>
    <n v="645409990"/>
    <s v="Hüseyin"/>
    <s v="Male"/>
    <d v="2030-08-29T00:00:00"/>
    <n v="3346"/>
    <n v="28"/>
    <n v="8.3999999999999995E-3"/>
    <n v="8.368200836820083E-3"/>
    <x v="0"/>
    <n v="26"/>
    <n v="86996"/>
    <s v="EUR"/>
    <x v="10"/>
    <x v="4"/>
    <n v="0.2"/>
    <x v="1"/>
    <s v="Khaki"/>
  </r>
  <r>
    <n v="862364127"/>
    <s v="Canan"/>
    <s v="Female"/>
    <d v="2032-06-03T00:00:00"/>
    <n v="3613"/>
    <n v="11"/>
    <n v="3.0000000000000001E-3"/>
    <n v="3.0445613063935788E-3"/>
    <x v="0"/>
    <n v="44"/>
    <n v="158972"/>
    <s v="EUR"/>
    <x v="11"/>
    <x v="5"/>
    <n v="0.2"/>
    <x v="1"/>
    <s v="Violet"/>
  </r>
  <r>
    <n v="896962324"/>
    <s v="Cansu"/>
    <s v="Female"/>
    <d v="2031-05-25T00:00:00"/>
    <n v="1563"/>
    <n v="48"/>
    <n v="3.0700000000000002E-2"/>
    <n v="3.0710172744721688E-2"/>
    <x v="0"/>
    <n v="28"/>
    <n v="43764"/>
    <s v="EUR"/>
    <x v="12"/>
    <x v="10"/>
    <n v="0.2"/>
    <x v="1"/>
    <s v="Teal"/>
  </r>
  <r>
    <n v="504287860"/>
    <s v="Kenan"/>
    <s v="Male"/>
    <d v="2032-08-06T00:00:00"/>
    <n v="1567"/>
    <n v="11"/>
    <n v="7.0000000000000001E-3"/>
    <n v="7.0197830248883214E-3"/>
    <x v="0"/>
    <n v="37"/>
    <n v="57979"/>
    <s v="EUR"/>
    <x v="13"/>
    <x v="3"/>
    <n v="0.2"/>
    <x v="1"/>
    <s v="Crimson"/>
  </r>
  <r>
    <n v="605464755"/>
    <s v="Mirza"/>
    <s v="Male"/>
    <d v="2032-02-09T00:00:00"/>
    <n v="1211"/>
    <n v="11"/>
    <n v="9.1000000000000004E-3"/>
    <n v="9.0834021469859624E-3"/>
    <x v="0"/>
    <n v="47"/>
    <n v="56917"/>
    <s v="EUR"/>
    <x v="14"/>
    <x v="0"/>
    <n v="0.2"/>
    <x v="1"/>
    <s v="Aquamarine"/>
  </r>
  <r>
    <n v="609813239"/>
    <s v="Ebrar"/>
    <s v="Female"/>
    <d v="2031-02-11T00:00:00"/>
    <n v="4887"/>
    <n v="38"/>
    <n v="7.7999999999999996E-3"/>
    <n v="7.7757315326376104E-3"/>
    <x v="0"/>
    <n v="27"/>
    <n v="131949"/>
    <s v="EUR"/>
    <x v="0"/>
    <x v="6"/>
    <n v="0.2"/>
    <x v="0"/>
    <s v="Crimson"/>
  </r>
  <r>
    <n v="186319538"/>
    <s v="Semih"/>
    <s v="Male"/>
    <d v="2031-08-16T00:00:00"/>
    <n v="1025"/>
    <n v="20"/>
    <n v="1.95E-2"/>
    <n v="1.9512195121951219E-2"/>
    <x v="0"/>
    <n v="22"/>
    <n v="22550"/>
    <s v="EUR"/>
    <x v="1"/>
    <x v="0"/>
    <n v="0.2"/>
    <x v="1"/>
    <s v="Khaki"/>
  </r>
  <r>
    <n v="709066745"/>
    <s v="Sevcan"/>
    <s v="Female"/>
    <d v="2030-07-29T00:00:00"/>
    <n v="4656"/>
    <n v="43"/>
    <n v="9.1999999999999998E-3"/>
    <n v="9.2353951890034366E-3"/>
    <x v="0"/>
    <n v="26"/>
    <n v="121056"/>
    <s v="EUR"/>
    <x v="2"/>
    <x v="3"/>
    <n v="0.2"/>
    <x v="1"/>
    <s v="Teal"/>
  </r>
  <r>
    <n v="454190172"/>
    <s v="Sevtap"/>
    <s v="Female"/>
    <d v="2031-01-25T00:00:00"/>
    <n v="2848"/>
    <n v="48"/>
    <n v="1.6899999999999998E-2"/>
    <n v="1.6853932584269662E-2"/>
    <x v="0"/>
    <n v="41"/>
    <n v="116768"/>
    <s v="EUR"/>
    <x v="3"/>
    <x v="7"/>
    <n v="0.2"/>
    <x v="0"/>
    <s v="Red"/>
  </r>
  <r>
    <n v="972905267"/>
    <s v="Kemal"/>
    <s v="Male"/>
    <d v="2032-05-13T00:00:00"/>
    <n v="3435"/>
    <n v="12"/>
    <n v="3.5000000000000001E-3"/>
    <n v="3.4934497816593887E-3"/>
    <x v="0"/>
    <n v="40"/>
    <n v="137400"/>
    <s v="EUR"/>
    <x v="4"/>
    <x v="0"/>
    <n v="0.2"/>
    <x v="0"/>
    <s v="Purple"/>
  </r>
  <r>
    <n v="966031957"/>
    <s v="Resul"/>
    <s v="Male"/>
    <d v="2031-10-08T00:00:00"/>
    <n v="3231"/>
    <n v="34"/>
    <n v="1.0500000000000001E-2"/>
    <n v="1.0523057876818322E-2"/>
    <x v="3"/>
    <n v="20"/>
    <n v="64620"/>
    <s v="USD"/>
    <x v="5"/>
    <x v="2"/>
    <n v="0.2"/>
    <x v="0"/>
    <s v="Aquamarine"/>
  </r>
  <r>
    <n v="205495518"/>
    <s v="Beşir"/>
    <s v="Male"/>
    <d v="2030-03-08T00:00:00"/>
    <n v="1409"/>
    <n v="48"/>
    <n v="3.4099999999999998E-2"/>
    <n v="3.4066713981547196E-2"/>
    <x v="0"/>
    <n v="47"/>
    <n v="66223"/>
    <s v="EUR"/>
    <x v="6"/>
    <x v="10"/>
    <n v="0.2"/>
    <x v="0"/>
    <s v="Aquamarine"/>
  </r>
  <r>
    <n v="53858763"/>
    <s v="Yusuf"/>
    <s v="Male"/>
    <d v="2031-08-14T00:00:00"/>
    <n v="2238"/>
    <n v="13"/>
    <n v="5.7999999999999996E-3"/>
    <n v="5.8087578194816799E-3"/>
    <x v="0"/>
    <n v="40"/>
    <n v="89520"/>
    <s v="EUR"/>
    <x v="6"/>
    <x v="1"/>
    <n v="0.2"/>
    <x v="0"/>
    <s v="Crimson"/>
  </r>
  <r>
    <n v="800348229"/>
    <s v="Soner"/>
    <s v="Male"/>
    <d v="2032-09-02T00:00:00"/>
    <n v="1199"/>
    <n v="10"/>
    <n v="8.3000000000000001E-3"/>
    <n v="8.3402835696413675E-3"/>
    <x v="0"/>
    <n v="23"/>
    <n v="27577"/>
    <s v="EUR"/>
    <x v="7"/>
    <x v="10"/>
    <n v="0.2"/>
    <x v="1"/>
    <s v="Pink"/>
  </r>
  <r>
    <n v="845934966"/>
    <s v="Ali"/>
    <s v="Male"/>
    <d v="2030-01-14T00:00:00"/>
    <n v="3405"/>
    <n v="33"/>
    <n v="9.7000000000000003E-3"/>
    <n v="9.6916299559471359E-3"/>
    <x v="0"/>
    <n v="47"/>
    <n v="160035"/>
    <s v="EUR"/>
    <x v="8"/>
    <x v="8"/>
    <n v="0.2"/>
    <x v="0"/>
    <s v="Teal"/>
  </r>
  <r>
    <n v="194968374"/>
    <s v="Hasan"/>
    <s v="Male"/>
    <d v="2031-08-09T00:00:00"/>
    <n v="4101"/>
    <n v="31"/>
    <n v="7.6E-3"/>
    <n v="7.5591319190441352E-3"/>
    <x v="0"/>
    <n v="38"/>
    <n v="155838"/>
    <s v="EUR"/>
    <x v="9"/>
    <x v="8"/>
    <n v="0.2"/>
    <x v="1"/>
    <s v="Green"/>
  </r>
  <r>
    <n v="297195918"/>
    <s v="Hüseyin"/>
    <s v="Male"/>
    <d v="2031-06-03T00:00:00"/>
    <n v="3312"/>
    <n v="18"/>
    <n v="5.4000000000000003E-3"/>
    <n v="5.434782608695652E-3"/>
    <x v="0"/>
    <n v="36"/>
    <n v="119232"/>
    <s v="EUR"/>
    <x v="10"/>
    <x v="8"/>
    <n v="0.2"/>
    <x v="1"/>
    <s v="Pink"/>
  </r>
  <r>
    <n v="701178266"/>
    <s v="Canan"/>
    <s v="Female"/>
    <d v="2031-05-19T00:00:00"/>
    <n v="4427"/>
    <n v="43"/>
    <n v="9.7000000000000003E-3"/>
    <n v="9.7131240117461042E-3"/>
    <x v="0"/>
    <n v="39"/>
    <n v="172653"/>
    <s v="EUR"/>
    <x v="11"/>
    <x v="4"/>
    <n v="0.2"/>
    <x v="1"/>
    <s v="Yellow"/>
  </r>
  <r>
    <n v="682379533"/>
    <s v="Cansu"/>
    <s v="Female"/>
    <d v="2030-04-10T00:00:00"/>
    <n v="3739"/>
    <n v="11"/>
    <n v="2.8999999999999998E-3"/>
    <n v="2.941963091735758E-3"/>
    <x v="0"/>
    <n v="46"/>
    <n v="171994"/>
    <s v="EUR"/>
    <x v="12"/>
    <x v="7"/>
    <n v="0.2"/>
    <x v="1"/>
    <s v="Goldenrod"/>
  </r>
  <r>
    <n v="641633091"/>
    <s v="Kenan"/>
    <s v="Male"/>
    <d v="2032-03-20T00:00:00"/>
    <n v="4158"/>
    <n v="16"/>
    <n v="3.8E-3"/>
    <n v="3.8480038480038481E-3"/>
    <x v="1"/>
    <n v="39"/>
    <n v="162162"/>
    <s v="EUR"/>
    <x v="13"/>
    <x v="3"/>
    <n v="0.2"/>
    <x v="0"/>
    <s v="Goldenrod"/>
  </r>
  <r>
    <n v="271105689"/>
    <s v="Mirza"/>
    <s v="Male"/>
    <d v="2031-02-02T00:00:00"/>
    <n v="1288"/>
    <n v="46"/>
    <n v="3.5700000000000003E-2"/>
    <n v="3.5714285714285712E-2"/>
    <x v="0"/>
    <n v="46"/>
    <n v="59248"/>
    <s v="EUR"/>
    <x v="14"/>
    <x v="9"/>
    <n v="0.2"/>
    <x v="1"/>
    <s v="Pink"/>
  </r>
  <r>
    <n v="502464557"/>
    <s v="Ebrar"/>
    <s v="Female"/>
    <d v="2031-06-11T00:00:00"/>
    <n v="4396"/>
    <n v="17"/>
    <n v="3.8999999999999998E-3"/>
    <n v="3.8671519563239307E-3"/>
    <x v="0"/>
    <n v="43"/>
    <n v="189028"/>
    <s v="EUR"/>
    <x v="0"/>
    <x v="1"/>
    <n v="0.2"/>
    <x v="1"/>
    <s v="Fuscia"/>
  </r>
  <r>
    <n v="673071606"/>
    <s v="Semih"/>
    <s v="Male"/>
    <d v="2031-07-14T00:00:00"/>
    <n v="3192"/>
    <n v="32"/>
    <n v="0.01"/>
    <n v="1.0025062656641603E-2"/>
    <x v="0"/>
    <n v="23"/>
    <n v="73416"/>
    <s v="EUR"/>
    <x v="1"/>
    <x v="10"/>
    <n v="0.2"/>
    <x v="1"/>
    <s v="Maroon"/>
  </r>
  <r>
    <n v="589743272"/>
    <s v="Sevcan"/>
    <s v="Female"/>
    <d v="2031-04-07T00:00:00"/>
    <n v="2809"/>
    <n v="14"/>
    <n v="5.0000000000000001E-3"/>
    <n v="4.9839800640797439E-3"/>
    <x v="0"/>
    <n v="43"/>
    <n v="120787"/>
    <s v="EUR"/>
    <x v="2"/>
    <x v="5"/>
    <n v="0.2"/>
    <x v="1"/>
    <s v="Aquamarine"/>
  </r>
  <r>
    <n v="737998492"/>
    <s v="Sevtap"/>
    <s v="Female"/>
    <d v="2032-01-22T00:00:00"/>
    <n v="4787"/>
    <n v="43"/>
    <n v="8.9999999999999993E-3"/>
    <n v="8.9826613745560887E-3"/>
    <x v="0"/>
    <n v="33"/>
    <n v="157971"/>
    <s v="EUR"/>
    <x v="3"/>
    <x v="1"/>
    <n v="0.2"/>
    <x v="1"/>
    <s v="Khaki"/>
  </r>
  <r>
    <n v="162148496"/>
    <s v="Kemal"/>
    <s v="Male"/>
    <d v="2032-08-11T00:00:00"/>
    <n v="1672"/>
    <n v="10"/>
    <n v="6.0000000000000001E-3"/>
    <n v="5.9808612440191387E-3"/>
    <x v="0"/>
    <n v="35"/>
    <n v="58520"/>
    <s v="EUR"/>
    <x v="4"/>
    <x v="10"/>
    <n v="0.2"/>
    <x v="0"/>
    <s v="Teal"/>
  </r>
  <r>
    <n v="35567432"/>
    <s v="Resul"/>
    <s v="Male"/>
    <d v="2030-10-18T00:00:00"/>
    <n v="3318"/>
    <n v="43"/>
    <n v="1.2999999999999999E-2"/>
    <n v="1.2959614225437011E-2"/>
    <x v="0"/>
    <n v="41"/>
    <n v="136038"/>
    <s v="EUR"/>
    <x v="5"/>
    <x v="2"/>
    <n v="0.2"/>
    <x v="1"/>
    <s v="Orange"/>
  </r>
  <r>
    <n v="542819433"/>
    <s v="Hüseyin"/>
    <s v="Male"/>
    <d v="2030-12-05T00:00:00"/>
    <n v="4634"/>
    <n v="16"/>
    <n v="3.5000000000000001E-3"/>
    <n v="3.4527406128614588E-3"/>
    <x v="0"/>
    <n v="45"/>
    <n v="208530"/>
    <s v="EUR"/>
    <x v="6"/>
    <x v="8"/>
    <n v="0.2"/>
    <x v="0"/>
    <s v="Khaki"/>
  </r>
  <r>
    <n v="563539732"/>
    <s v="Canan"/>
    <s v="Female"/>
    <d v="2030-06-26T00:00:00"/>
    <n v="1278"/>
    <n v="15"/>
    <n v="1.17E-2"/>
    <n v="1.1737089201877934E-2"/>
    <x v="0"/>
    <n v="22"/>
    <n v="28116"/>
    <s v="EUR"/>
    <x v="6"/>
    <x v="5"/>
    <n v="0.2"/>
    <x v="1"/>
    <s v="Purple"/>
  </r>
  <r>
    <n v="863058587"/>
    <s v="Cansu"/>
    <s v="Female"/>
    <d v="2032-11-17T00:00:00"/>
    <n v="3288"/>
    <n v="50"/>
    <n v="1.52E-2"/>
    <n v="1.5206812652068127E-2"/>
    <x v="0"/>
    <n v="29"/>
    <n v="95352"/>
    <s v="EUR"/>
    <x v="7"/>
    <x v="7"/>
    <n v="0.2"/>
    <x v="1"/>
    <s v="Mauv"/>
  </r>
  <r>
    <n v="454150223"/>
    <s v="Kenan"/>
    <s v="Male"/>
    <d v="2032-10-26T00:00:00"/>
    <n v="3040"/>
    <n v="33"/>
    <n v="1.09E-2"/>
    <n v="1.0855263157894738E-2"/>
    <x v="0"/>
    <n v="38"/>
    <n v="115520"/>
    <s v="EUR"/>
    <x v="8"/>
    <x v="5"/>
    <n v="0.2"/>
    <x v="1"/>
    <s v="Turquoise"/>
  </r>
  <r>
    <n v="932233219"/>
    <s v="Mirza"/>
    <s v="Male"/>
    <d v="2032-05-20T00:00:00"/>
    <n v="4132"/>
    <n v="20"/>
    <n v="4.7999999999999996E-3"/>
    <n v="4.8402710551790898E-3"/>
    <x v="0"/>
    <n v="48"/>
    <n v="198336"/>
    <s v="EUR"/>
    <x v="9"/>
    <x v="3"/>
    <n v="0.2"/>
    <x v="1"/>
    <s v="Aquamarine"/>
  </r>
  <r>
    <n v="866341175"/>
    <s v="Ebrar"/>
    <s v="Female"/>
    <d v="2030-11-06T00:00:00"/>
    <n v="3043"/>
    <n v="13"/>
    <n v="4.3E-3"/>
    <n v="4.2720999014130793E-3"/>
    <x v="0"/>
    <n v="31"/>
    <n v="94333"/>
    <s v="EUR"/>
    <x v="10"/>
    <x v="2"/>
    <n v="0.2"/>
    <x v="1"/>
    <s v="Indigo"/>
  </r>
  <r>
    <n v="131807667"/>
    <s v="Semih"/>
    <s v="Male"/>
    <d v="2031-10-30T00:00:00"/>
    <n v="4395"/>
    <n v="10"/>
    <n v="2.3E-3"/>
    <n v="2.2753128555176336E-3"/>
    <x v="0"/>
    <n v="21"/>
    <n v="92295"/>
    <s v="EUR"/>
    <x v="11"/>
    <x v="6"/>
    <n v="0.2"/>
    <x v="1"/>
    <s v="Aquamarine"/>
  </r>
  <r>
    <n v="318023118"/>
    <s v="Sevcan"/>
    <s v="Female"/>
    <d v="2032-11-03T00:00:00"/>
    <n v="2425"/>
    <n v="49"/>
    <n v="2.0199999999999999E-2"/>
    <n v="2.0206185567010308E-2"/>
    <x v="0"/>
    <n v="35"/>
    <n v="84875"/>
    <s v="EUR"/>
    <x v="12"/>
    <x v="9"/>
    <n v="0.2"/>
    <x v="1"/>
    <s v="Indigo"/>
  </r>
  <r>
    <n v="303772740"/>
    <s v="Sevtap"/>
    <s v="Female"/>
    <d v="2030-10-17T00:00:00"/>
    <n v="3327"/>
    <n v="13"/>
    <n v="3.8999999999999998E-3"/>
    <n v="3.9074241058010221E-3"/>
    <x v="1"/>
    <n v="20"/>
    <n v="66540"/>
    <s v="EUR"/>
    <x v="13"/>
    <x v="1"/>
    <n v="0.2"/>
    <x v="1"/>
    <s v="Khaki"/>
  </r>
  <r>
    <n v="816680854"/>
    <s v="Kemal"/>
    <s v="Male"/>
    <d v="2030-08-25T00:00:00"/>
    <n v="1316"/>
    <n v="47"/>
    <n v="3.5700000000000003E-2"/>
    <n v="3.5714285714285712E-2"/>
    <x v="0"/>
    <n v="27"/>
    <n v="35532"/>
    <s v="EUR"/>
    <x v="14"/>
    <x v="5"/>
    <n v="0.2"/>
    <x v="1"/>
    <s v="Orange"/>
  </r>
  <r>
    <n v="744557357"/>
    <s v="Resul"/>
    <s v="Male"/>
    <d v="2031-10-10T00:00:00"/>
    <n v="4544"/>
    <n v="28"/>
    <n v="6.1999999999999998E-3"/>
    <n v="6.1619718309859151E-3"/>
    <x v="0"/>
    <n v="32"/>
    <n v="145408"/>
    <s v="EUR"/>
    <x v="0"/>
    <x v="6"/>
    <n v="0.2"/>
    <x v="1"/>
    <s v="Orange"/>
  </r>
  <r>
    <n v="433523222"/>
    <s v="Beşir"/>
    <s v="Male"/>
    <d v="2032-04-12T00:00:00"/>
    <n v="4309"/>
    <n v="16"/>
    <n v="3.7000000000000002E-3"/>
    <n v="3.7131585054537017E-3"/>
    <x v="0"/>
    <n v="34"/>
    <n v="146506"/>
    <s v="EUR"/>
    <x v="1"/>
    <x v="4"/>
    <n v="0.2"/>
    <x v="0"/>
    <s v="Mauv"/>
  </r>
  <r>
    <n v="989368696"/>
    <s v="Yusuf"/>
    <s v="Male"/>
    <d v="2032-05-12T00:00:00"/>
    <n v="1139"/>
    <n v="38"/>
    <n v="3.3399999999999999E-2"/>
    <n v="3.3362598770851626E-2"/>
    <x v="0"/>
    <n v="22"/>
    <n v="25058"/>
    <s v="EUR"/>
    <x v="2"/>
    <x v="10"/>
    <n v="0.2"/>
    <x v="0"/>
    <s v="Purple"/>
  </r>
  <r>
    <n v="413811616"/>
    <s v="Soner"/>
    <s v="Male"/>
    <d v="2031-05-19T00:00:00"/>
    <n v="3560"/>
    <n v="24"/>
    <n v="6.7000000000000002E-3"/>
    <n v="6.7415730337078653E-3"/>
    <x v="1"/>
    <n v="23"/>
    <n v="81880"/>
    <s v="EUR"/>
    <x v="3"/>
    <x v="0"/>
    <n v="0.2"/>
    <x v="1"/>
    <s v="Goldenrod"/>
  </r>
  <r>
    <n v="865613442"/>
    <s v="Ali"/>
    <s v="Male"/>
    <d v="2030-04-17T00:00:00"/>
    <n v="4809"/>
    <n v="43"/>
    <n v="8.8999999999999999E-3"/>
    <n v="8.9415678935329587E-3"/>
    <x v="0"/>
    <n v="44"/>
    <n v="211596"/>
    <s v="EUR"/>
    <x v="4"/>
    <x v="1"/>
    <n v="0.2"/>
    <x v="0"/>
    <s v="Mauv"/>
  </r>
  <r>
    <n v="934091813"/>
    <s v="Hasan"/>
    <s v="Male"/>
    <d v="2031-05-16T00:00:00"/>
    <n v="4795"/>
    <n v="24"/>
    <n v="5.0000000000000001E-3"/>
    <n v="5.0052137643378522E-3"/>
    <x v="0"/>
    <n v="48"/>
    <n v="230160"/>
    <s v="EUR"/>
    <x v="5"/>
    <x v="2"/>
    <n v="0.2"/>
    <x v="1"/>
    <s v="Blue"/>
  </r>
  <r>
    <n v="32932035"/>
    <s v="Hüseyin"/>
    <s v="Male"/>
    <d v="2032-08-31T00:00:00"/>
    <n v="4030"/>
    <n v="42"/>
    <n v="1.04E-2"/>
    <n v="1.0421836228287842E-2"/>
    <x v="0"/>
    <n v="28"/>
    <n v="112840"/>
    <s v="EUR"/>
    <x v="6"/>
    <x v="2"/>
    <n v="0.2"/>
    <x v="0"/>
    <s v="Fuscia"/>
  </r>
  <r>
    <n v="499640965"/>
    <s v="Canan"/>
    <s v="Female"/>
    <d v="2030-02-24T00:00:00"/>
    <n v="4193"/>
    <n v="44"/>
    <n v="1.0500000000000001E-2"/>
    <n v="1.0493679942761746E-2"/>
    <x v="0"/>
    <n v="41"/>
    <n v="171913"/>
    <s v="EUR"/>
    <x v="6"/>
    <x v="5"/>
    <n v="0.2"/>
    <x v="1"/>
    <s v="Green"/>
  </r>
  <r>
    <n v="45791235"/>
    <s v="Cansu"/>
    <s v="Female"/>
    <d v="2030-06-30T00:00:00"/>
    <n v="2352"/>
    <n v="37"/>
    <n v="1.5699999999999999E-2"/>
    <n v="1.5731292517006803E-2"/>
    <x v="0"/>
    <n v="22"/>
    <n v="51744"/>
    <s v="EUR"/>
    <x v="7"/>
    <x v="6"/>
    <n v="0.2"/>
    <x v="1"/>
    <s v="Yellow"/>
  </r>
  <r>
    <n v="891240939"/>
    <s v="Kenan"/>
    <s v="Male"/>
    <d v="2032-09-08T00:00:00"/>
    <n v="3020"/>
    <n v="45"/>
    <n v="1.49E-2"/>
    <n v="1.4900662251655629E-2"/>
    <x v="0"/>
    <n v="48"/>
    <n v="144960"/>
    <s v="EUR"/>
    <x v="8"/>
    <x v="2"/>
    <n v="0.2"/>
    <x v="1"/>
    <s v="Khaki"/>
  </r>
  <r>
    <n v="292510700"/>
    <s v="Mirza"/>
    <s v="Male"/>
    <d v="2032-03-13T00:00:00"/>
    <n v="4569"/>
    <n v="42"/>
    <n v="9.1999999999999998E-3"/>
    <n v="9.1923834537097834E-3"/>
    <x v="0"/>
    <n v="40"/>
    <n v="182760"/>
    <s v="EUR"/>
    <x v="9"/>
    <x v="5"/>
    <n v="0.2"/>
    <x v="0"/>
    <s v="Khaki"/>
  </r>
  <r>
    <n v="303700032"/>
    <s v="Ebrar"/>
    <s v="Female"/>
    <d v="2030-12-31T00:00:00"/>
    <n v="2317"/>
    <n v="19"/>
    <n v="8.2000000000000007E-3"/>
    <n v="8.2002589555459655E-3"/>
    <x v="0"/>
    <n v="41"/>
    <n v="94997"/>
    <s v="EUR"/>
    <x v="10"/>
    <x v="2"/>
    <n v="0.2"/>
    <x v="1"/>
    <s v="Turquoise"/>
  </r>
  <r>
    <n v="15818414"/>
    <s v="Semih"/>
    <s v="Male"/>
    <d v="2031-10-08T00:00:00"/>
    <n v="1800"/>
    <n v="30"/>
    <n v="1.67E-2"/>
    <n v="1.6666666666666666E-2"/>
    <x v="0"/>
    <n v="36"/>
    <n v="64800"/>
    <s v="EUR"/>
    <x v="11"/>
    <x v="5"/>
    <n v="0.2"/>
    <x v="1"/>
    <s v="Teal"/>
  </r>
  <r>
    <n v="588210732"/>
    <s v="Sevcan"/>
    <s v="Female"/>
    <d v="2032-07-14T00:00:00"/>
    <n v="3301"/>
    <n v="15"/>
    <n v="4.4999999999999997E-3"/>
    <n v="4.5440775522568918E-3"/>
    <x v="0"/>
    <n v="48"/>
    <n v="158448"/>
    <s v="EUR"/>
    <x v="12"/>
    <x v="2"/>
    <n v="0.2"/>
    <x v="0"/>
    <s v="Khaki"/>
  </r>
  <r>
    <n v="673277260"/>
    <s v="Sevtap"/>
    <s v="Female"/>
    <d v="2030-05-18T00:00:00"/>
    <n v="3729"/>
    <n v="32"/>
    <n v="8.6E-3"/>
    <n v="8.5813891123625637E-3"/>
    <x v="0"/>
    <n v="37"/>
    <n v="137973"/>
    <s v="EUR"/>
    <x v="13"/>
    <x v="2"/>
    <n v="0.2"/>
    <x v="1"/>
    <s v="Goldenrod"/>
  </r>
  <r>
    <n v="472668913"/>
    <s v="Kemal"/>
    <s v="Male"/>
    <d v="2032-12-13T00:00:00"/>
    <n v="3920"/>
    <n v="27"/>
    <n v="6.8999999999999999E-3"/>
    <n v="6.8877551020408165E-3"/>
    <x v="0"/>
    <n v="43"/>
    <n v="168560"/>
    <s v="EUR"/>
    <x v="14"/>
    <x v="3"/>
    <n v="0.2"/>
    <x v="1"/>
    <s v="Puce"/>
  </r>
  <r>
    <n v="875201961"/>
    <s v="Resul"/>
    <s v="Male"/>
    <d v="2031-09-22T00:00:00"/>
    <n v="2718"/>
    <n v="22"/>
    <n v="8.0999999999999996E-3"/>
    <n v="8.0941869021339229E-3"/>
    <x v="0"/>
    <n v="42"/>
    <n v="114156"/>
    <s v="EUR"/>
    <x v="0"/>
    <x v="8"/>
    <n v="0.2"/>
    <x v="1"/>
    <s v="Orange"/>
  </r>
  <r>
    <n v="117585161"/>
    <s v="Beşir"/>
    <s v="Male"/>
    <d v="2032-09-01T00:00:00"/>
    <n v="2382"/>
    <n v="25"/>
    <n v="1.0500000000000001E-2"/>
    <n v="1.0495382031905962E-2"/>
    <x v="0"/>
    <n v="42"/>
    <n v="100044"/>
    <s v="EUR"/>
    <x v="1"/>
    <x v="7"/>
    <n v="0.2"/>
    <x v="1"/>
    <s v="Orange"/>
  </r>
  <r>
    <n v="664280847"/>
    <s v="Yusuf"/>
    <s v="Male"/>
    <d v="2030-11-10T00:00:00"/>
    <n v="4736"/>
    <n v="24"/>
    <n v="5.1000000000000004E-3"/>
    <n v="5.0675675675675678E-3"/>
    <x v="0"/>
    <n v="42"/>
    <n v="198912"/>
    <s v="EUR"/>
    <x v="2"/>
    <x v="8"/>
    <n v="0.2"/>
    <x v="1"/>
    <s v="Pink"/>
  </r>
  <r>
    <n v="897480248"/>
    <s v="Soner"/>
    <s v="Male"/>
    <d v="2032-12-08T00:00:00"/>
    <n v="3961"/>
    <n v="14"/>
    <n v="3.5000000000000001E-3"/>
    <n v="3.5344609946983086E-3"/>
    <x v="0"/>
    <n v="36"/>
    <n v="142596"/>
    <s v="EUR"/>
    <x v="3"/>
    <x v="8"/>
    <n v="0.2"/>
    <x v="0"/>
    <s v="Fuscia"/>
  </r>
  <r>
    <n v="953844275"/>
    <s v="Ali"/>
    <s v="Male"/>
    <d v="2031-10-30T00:00:00"/>
    <n v="1137"/>
    <n v="50"/>
    <n v="4.3999999999999997E-2"/>
    <n v="4.3975373790677223E-2"/>
    <x v="0"/>
    <n v="30"/>
    <n v="34110"/>
    <s v="EUR"/>
    <x v="4"/>
    <x v="2"/>
    <n v="0.2"/>
    <x v="0"/>
    <s v="Red"/>
  </r>
  <r>
    <n v="363689534"/>
    <s v="Hasan"/>
    <s v="Male"/>
    <d v="2031-04-15T00:00:00"/>
    <n v="3661"/>
    <n v="16"/>
    <n v="4.4000000000000003E-3"/>
    <n v="4.3703906036602017E-3"/>
    <x v="0"/>
    <n v="43"/>
    <n v="157423"/>
    <s v="EUR"/>
    <x v="5"/>
    <x v="7"/>
    <n v="0.2"/>
    <x v="0"/>
    <s v="Purple"/>
  </r>
  <r>
    <n v="938486606"/>
    <s v="Hüseyin"/>
    <s v="Male"/>
    <d v="2032-04-08T00:00:00"/>
    <n v="3914"/>
    <n v="24"/>
    <n v="6.1000000000000004E-3"/>
    <n v="6.1318344404701075E-3"/>
    <x v="0"/>
    <n v="27"/>
    <n v="105678"/>
    <s v="EUR"/>
    <x v="6"/>
    <x v="6"/>
    <n v="0.2"/>
    <x v="0"/>
    <s v="Pink"/>
  </r>
  <r>
    <n v="571170312"/>
    <s v="Canan"/>
    <s v="Female"/>
    <d v="2030-07-13T00:00:00"/>
    <n v="1733"/>
    <n v="38"/>
    <n v="2.1899999999999999E-2"/>
    <n v="2.1927293710328911E-2"/>
    <x v="2"/>
    <n v="39"/>
    <n v="67587"/>
    <s v="EUR"/>
    <x v="6"/>
    <x v="6"/>
    <n v="0.2"/>
    <x v="0"/>
    <s v="Teal"/>
  </r>
  <r>
    <n v="386593835"/>
    <s v="Cansu"/>
    <s v="Female"/>
    <d v="2032-11-07T00:00:00"/>
    <n v="4426"/>
    <n v="41"/>
    <n v="9.2999999999999992E-3"/>
    <n v="9.2634432896520555E-3"/>
    <x v="0"/>
    <n v="38"/>
    <n v="168188"/>
    <s v="EUR"/>
    <x v="7"/>
    <x v="6"/>
    <n v="0.2"/>
    <x v="0"/>
    <s v="Green"/>
  </r>
  <r>
    <n v="791096474"/>
    <s v="Kenan"/>
    <s v="Male"/>
    <d v="2031-11-04T00:00:00"/>
    <n v="4493"/>
    <n v="34"/>
    <n v="7.6E-3"/>
    <n v="7.5673269530380591E-3"/>
    <x v="1"/>
    <n v="49"/>
    <n v="220157"/>
    <s v="EUR"/>
    <x v="8"/>
    <x v="5"/>
    <n v="0.2"/>
    <x v="0"/>
    <s v="Purple"/>
  </r>
  <r>
    <n v="207791251"/>
    <s v="Mirza"/>
    <s v="Male"/>
    <d v="2032-04-08T00:00:00"/>
    <n v="3370"/>
    <n v="27"/>
    <n v="8.0000000000000002E-3"/>
    <n v="8.0118694362017809E-3"/>
    <x v="0"/>
    <n v="45"/>
    <n v="151650"/>
    <s v="EUR"/>
    <x v="9"/>
    <x v="2"/>
    <n v="0.2"/>
    <x v="0"/>
    <s v="Puce"/>
  </r>
  <r>
    <n v="349853614"/>
    <s v="Ebrar"/>
    <s v="Female"/>
    <d v="2030-09-08T00:00:00"/>
    <n v="3697"/>
    <n v="33"/>
    <n v="8.8999999999999999E-3"/>
    <n v="8.9261563429807959E-3"/>
    <x v="0"/>
    <n v="35"/>
    <n v="129395"/>
    <s v="EUR"/>
    <x v="10"/>
    <x v="9"/>
    <n v="0.2"/>
    <x v="0"/>
    <s v="Red"/>
  </r>
  <r>
    <n v="854351783"/>
    <s v="Semih"/>
    <s v="Male"/>
    <d v="2032-03-09T00:00:00"/>
    <n v="2879"/>
    <n v="30"/>
    <n v="1.04E-2"/>
    <n v="1.0420284821118444E-2"/>
    <x v="0"/>
    <n v="41"/>
    <n v="118039"/>
    <s v="EUR"/>
    <x v="11"/>
    <x v="4"/>
    <n v="0.2"/>
    <x v="0"/>
    <s v="Crimson"/>
  </r>
  <r>
    <n v="10357555"/>
    <s v="Sevcan"/>
    <s v="Female"/>
    <d v="2031-02-24T00:00:00"/>
    <n v="3675"/>
    <n v="11"/>
    <n v="3.0000000000000001E-3"/>
    <n v="2.9931972789115648E-3"/>
    <x v="0"/>
    <n v="40"/>
    <n v="147000"/>
    <s v="EUR"/>
    <x v="12"/>
    <x v="10"/>
    <n v="0.2"/>
    <x v="1"/>
    <s v="Goldenrod"/>
  </r>
  <r>
    <n v="302779479"/>
    <s v="Sevtap"/>
    <s v="Female"/>
    <d v="2031-08-23T00:00:00"/>
    <n v="1905"/>
    <n v="47"/>
    <n v="2.47E-2"/>
    <n v="2.4671916010498687E-2"/>
    <x v="0"/>
    <n v="24"/>
    <n v="45720"/>
    <s v="EUR"/>
    <x v="13"/>
    <x v="6"/>
    <n v="0.2"/>
    <x v="0"/>
    <s v="Goldenrod"/>
  </r>
  <r>
    <n v="496987638"/>
    <s v="Kemal"/>
    <s v="Male"/>
    <d v="2030-07-23T00:00:00"/>
    <n v="1820"/>
    <n v="13"/>
    <n v="7.1000000000000004E-3"/>
    <n v="7.1428571428571426E-3"/>
    <x v="0"/>
    <n v="32"/>
    <n v="58240"/>
    <s v="EUR"/>
    <x v="14"/>
    <x v="9"/>
    <n v="0.2"/>
    <x v="0"/>
    <s v="Orange"/>
  </r>
  <r>
    <n v="833608993"/>
    <s v="Resul"/>
    <s v="Male"/>
    <d v="2030-08-23T00:00:00"/>
    <n v="3619"/>
    <n v="35"/>
    <n v="9.7000000000000003E-3"/>
    <n v="9.6711798839458421E-3"/>
    <x v="0"/>
    <n v="23"/>
    <n v="83237"/>
    <s v="EUR"/>
    <x v="0"/>
    <x v="2"/>
    <n v="0.2"/>
    <x v="1"/>
    <s v="Puce"/>
  </r>
  <r>
    <n v="370066516"/>
    <s v="Hüseyin"/>
    <s v="Male"/>
    <d v="2030-08-28T00:00:00"/>
    <n v="2963"/>
    <n v="21"/>
    <n v="7.1000000000000004E-3"/>
    <n v="7.0874114073574083E-3"/>
    <x v="0"/>
    <n v="41"/>
    <n v="121483"/>
    <s v="EUR"/>
    <x v="1"/>
    <x v="5"/>
    <n v="0.2"/>
    <x v="1"/>
    <s v="Yellow"/>
  </r>
  <r>
    <n v="76058008"/>
    <s v="Canan"/>
    <s v="Female"/>
    <d v="2031-02-02T00:00:00"/>
    <n v="4495"/>
    <n v="13"/>
    <n v="2.8999999999999998E-3"/>
    <n v="2.8921023359288096E-3"/>
    <x v="0"/>
    <n v="34"/>
    <n v="152830"/>
    <s v="EUR"/>
    <x v="2"/>
    <x v="1"/>
    <n v="0.2"/>
    <x v="0"/>
    <s v="Turquoise"/>
  </r>
  <r>
    <n v="94287276"/>
    <s v="Cansu"/>
    <s v="Female"/>
    <d v="2031-04-22T00:00:00"/>
    <n v="1314"/>
    <n v="26"/>
    <n v="1.9800000000000002E-2"/>
    <n v="1.9786910197869101E-2"/>
    <x v="0"/>
    <n v="27"/>
    <n v="35478"/>
    <s v="EUR"/>
    <x v="3"/>
    <x v="7"/>
    <n v="0.2"/>
    <x v="1"/>
    <s v="Purple"/>
  </r>
  <r>
    <n v="93572022"/>
    <s v="Kenan"/>
    <s v="Male"/>
    <d v="2030-03-22T00:00:00"/>
    <n v="2613"/>
    <n v="44"/>
    <n v="1.6799999999999999E-2"/>
    <n v="1.6838882510524303E-2"/>
    <x v="0"/>
    <n v="31"/>
    <n v="81003"/>
    <s v="EUR"/>
    <x v="4"/>
    <x v="5"/>
    <n v="0.2"/>
    <x v="0"/>
    <s v="Red"/>
  </r>
  <r>
    <n v="404765669"/>
    <s v="Mirza"/>
    <s v="Male"/>
    <d v="2032-05-02T00:00:00"/>
    <n v="3798"/>
    <n v="35"/>
    <n v="9.1999999999999998E-3"/>
    <n v="9.2153765139547129E-3"/>
    <x v="0"/>
    <n v="23"/>
    <n v="87354"/>
    <s v="EUR"/>
    <x v="5"/>
    <x v="10"/>
    <n v="0.2"/>
    <x v="1"/>
    <s v="Purple"/>
  </r>
  <r>
    <n v="976323545"/>
    <s v="Ebrar"/>
    <s v="Female"/>
    <d v="2031-12-09T00:00:00"/>
    <n v="3663"/>
    <n v="19"/>
    <n v="5.1999999999999998E-3"/>
    <n v="5.1870051870051871E-3"/>
    <x v="0"/>
    <n v="33"/>
    <n v="120879"/>
    <s v="EUR"/>
    <x v="6"/>
    <x v="10"/>
    <n v="0.2"/>
    <x v="0"/>
    <s v="Indigo"/>
  </r>
  <r>
    <n v="114481413"/>
    <s v="Semih"/>
    <s v="Male"/>
    <d v="2030-02-28T00:00:00"/>
    <n v="2254"/>
    <n v="17"/>
    <n v="7.4999999999999997E-3"/>
    <n v="7.5421472937000885E-3"/>
    <x v="0"/>
    <n v="30"/>
    <n v="67620"/>
    <s v="EUR"/>
    <x v="6"/>
    <x v="1"/>
    <n v="0.2"/>
    <x v="0"/>
    <s v="Teal"/>
  </r>
  <r>
    <n v="761229323"/>
    <s v="Sevcan"/>
    <s v="Female"/>
    <d v="2032-08-15T00:00:00"/>
    <n v="4609"/>
    <n v="34"/>
    <n v="7.4000000000000003E-3"/>
    <n v="7.3768713386851816E-3"/>
    <x v="0"/>
    <n v="36"/>
    <n v="165924"/>
    <s v="EUR"/>
    <x v="7"/>
    <x v="0"/>
    <n v="0.2"/>
    <x v="0"/>
    <s v="Yellow"/>
  </r>
  <r>
    <n v="240481122"/>
    <s v="Sevtap"/>
    <s v="Female"/>
    <d v="2031-10-04T00:00:00"/>
    <n v="1255"/>
    <n v="49"/>
    <n v="3.9E-2"/>
    <n v="3.9043824701195218E-2"/>
    <x v="1"/>
    <n v="45"/>
    <n v="56475"/>
    <s v="EUR"/>
    <x v="8"/>
    <x v="6"/>
    <n v="0.2"/>
    <x v="0"/>
    <s v="Red"/>
  </r>
  <r>
    <n v="130130162"/>
    <s v="Kemal"/>
    <s v="Male"/>
    <d v="2032-09-30T00:00:00"/>
    <n v="1346"/>
    <n v="44"/>
    <n v="3.27E-2"/>
    <n v="3.2689450222882617E-2"/>
    <x v="0"/>
    <n v="24"/>
    <n v="32304"/>
    <s v="EUR"/>
    <x v="9"/>
    <x v="7"/>
    <n v="0.2"/>
    <x v="0"/>
    <s v="Khaki"/>
  </r>
  <r>
    <n v="199544196"/>
    <s v="Resul"/>
    <s v="Male"/>
    <d v="2032-06-13T00:00:00"/>
    <n v="1528"/>
    <n v="36"/>
    <n v="2.3599999999999999E-2"/>
    <n v="2.356020942408377E-2"/>
    <x v="0"/>
    <n v="39"/>
    <n v="59592"/>
    <s v="EUR"/>
    <x v="10"/>
    <x v="4"/>
    <n v="0.2"/>
    <x v="0"/>
    <s v="Blue"/>
  </r>
  <r>
    <n v="427939159"/>
    <s v="Beşir"/>
    <s v="Male"/>
    <d v="2032-01-05T00:00:00"/>
    <n v="2388"/>
    <n v="43"/>
    <n v="1.7999999999999999E-2"/>
    <n v="1.8006700167504188E-2"/>
    <x v="0"/>
    <n v="43"/>
    <n v="102684"/>
    <s v="EUR"/>
    <x v="11"/>
    <x v="8"/>
    <n v="0.2"/>
    <x v="1"/>
    <s v="Fuscia"/>
  </r>
  <r>
    <n v="259380121"/>
    <s v="Yusuf"/>
    <s v="Male"/>
    <d v="2030-10-12T00:00:00"/>
    <n v="4014"/>
    <n v="18"/>
    <n v="4.4999999999999997E-3"/>
    <n v="4.4843049327354259E-3"/>
    <x v="0"/>
    <n v="22"/>
    <n v="88308"/>
    <s v="EUR"/>
    <x v="12"/>
    <x v="4"/>
    <n v="0.2"/>
    <x v="1"/>
    <s v="Maroon"/>
  </r>
  <r>
    <n v="581267588"/>
    <s v="Soner"/>
    <s v="Male"/>
    <d v="2032-11-06T00:00:00"/>
    <n v="3891"/>
    <n v="47"/>
    <n v="1.21E-2"/>
    <n v="1.2079157029041377E-2"/>
    <x v="0"/>
    <n v="48"/>
    <n v="186768"/>
    <s v="EUR"/>
    <x v="13"/>
    <x v="2"/>
    <n v="0.2"/>
    <x v="0"/>
    <s v="Red"/>
  </r>
  <r>
    <n v="287188357"/>
    <s v="Ali"/>
    <s v="Male"/>
    <d v="2030-08-17T00:00:00"/>
    <n v="4471"/>
    <n v="38"/>
    <n v="8.5000000000000006E-3"/>
    <n v="8.4992171773652422E-3"/>
    <x v="0"/>
    <n v="34"/>
    <n v="152014"/>
    <s v="EUR"/>
    <x v="14"/>
    <x v="7"/>
    <n v="0.2"/>
    <x v="0"/>
    <s v="Pink"/>
  </r>
  <r>
    <n v="199261152"/>
    <s v="Hasan"/>
    <s v="Male"/>
    <d v="2030-04-10T00:00:00"/>
    <n v="1513"/>
    <n v="14"/>
    <n v="9.2999999999999992E-3"/>
    <n v="9.253139458030404E-3"/>
    <x v="0"/>
    <n v="22"/>
    <n v="33286"/>
    <s v="EUR"/>
    <x v="0"/>
    <x v="3"/>
    <n v="0.2"/>
    <x v="0"/>
    <s v="Aquamarine"/>
  </r>
  <r>
    <n v="339035875"/>
    <s v="Hüseyin"/>
    <s v="Male"/>
    <d v="2032-03-13T00:00:00"/>
    <n v="2109"/>
    <n v="18"/>
    <n v="8.5000000000000006E-3"/>
    <n v="8.5348506401137988E-3"/>
    <x v="0"/>
    <n v="27"/>
    <n v="56943"/>
    <s v="EUR"/>
    <x v="1"/>
    <x v="3"/>
    <n v="0.2"/>
    <x v="0"/>
    <s v="Goldenrod"/>
  </r>
  <r>
    <n v="870214267"/>
    <s v="Canan"/>
    <s v="Female"/>
    <d v="2031-11-24T00:00:00"/>
    <n v="4609"/>
    <n v="14"/>
    <n v="3.0000000000000001E-3"/>
    <n v="3.0375352571056628E-3"/>
    <x v="0"/>
    <n v="22"/>
    <n v="101398"/>
    <s v="EUR"/>
    <x v="2"/>
    <x v="10"/>
    <n v="0.2"/>
    <x v="1"/>
    <s v="Orange"/>
  </r>
  <r>
    <n v="896070755"/>
    <s v="Cansu"/>
    <s v="Female"/>
    <d v="2030-04-08T00:00:00"/>
    <n v="2185"/>
    <n v="33"/>
    <n v="1.5100000000000001E-2"/>
    <n v="1.5102974828375287E-2"/>
    <x v="0"/>
    <n v="48"/>
    <n v="104880"/>
    <s v="EUR"/>
    <x v="3"/>
    <x v="10"/>
    <n v="0.2"/>
    <x v="1"/>
    <s v="Goldenrod"/>
  </r>
  <r>
    <n v="46912151"/>
    <s v="Kenan"/>
    <s v="Male"/>
    <d v="2030-05-17T00:00:00"/>
    <n v="4674"/>
    <n v="50"/>
    <n v="1.0699999999999999E-2"/>
    <n v="1.069747539580659E-2"/>
    <x v="0"/>
    <n v="31"/>
    <n v="144894"/>
    <s v="EUR"/>
    <x v="4"/>
    <x v="10"/>
    <n v="0.2"/>
    <x v="0"/>
    <s v="Goldenrod"/>
  </r>
  <r>
    <n v="489021096"/>
    <s v="Mirza"/>
    <s v="Male"/>
    <d v="2032-09-15T00:00:00"/>
    <n v="1650"/>
    <n v="37"/>
    <n v="2.24E-2"/>
    <n v="2.2424242424242423E-2"/>
    <x v="0"/>
    <n v="29"/>
    <n v="47850"/>
    <s v="EUR"/>
    <x v="5"/>
    <x v="7"/>
    <n v="0.2"/>
    <x v="1"/>
    <s v="Fuscia"/>
  </r>
  <r>
    <n v="449012743"/>
    <s v="Ebrar"/>
    <s v="Female"/>
    <d v="2031-11-10T00:00:00"/>
    <n v="3109"/>
    <n v="39"/>
    <n v="1.2500000000000001E-2"/>
    <n v="1.2544226439369572E-2"/>
    <x v="0"/>
    <n v="39"/>
    <n v="121251"/>
    <s v="EUR"/>
    <x v="6"/>
    <x v="9"/>
    <n v="0.2"/>
    <x v="1"/>
    <s v="Yellow"/>
  </r>
  <r>
    <n v="514710715"/>
    <s v="Semih"/>
    <s v="Male"/>
    <d v="2031-09-25T00:00:00"/>
    <n v="2377"/>
    <n v="46"/>
    <n v="1.9400000000000001E-2"/>
    <n v="1.9352124526714348E-2"/>
    <x v="0"/>
    <n v="32"/>
    <n v="76064"/>
    <s v="EUR"/>
    <x v="6"/>
    <x v="8"/>
    <n v="0.2"/>
    <x v="0"/>
    <s v="Green"/>
  </r>
  <r>
    <n v="623067664"/>
    <s v="Sevcan"/>
    <s v="Female"/>
    <d v="2031-09-29T00:00:00"/>
    <n v="2154"/>
    <n v="14"/>
    <n v="6.4999999999999997E-3"/>
    <n v="6.4995357474466105E-3"/>
    <x v="0"/>
    <n v="29"/>
    <n v="62466"/>
    <s v="EUR"/>
    <x v="7"/>
    <x v="5"/>
    <n v="0.2"/>
    <x v="1"/>
    <s v="Violet"/>
  </r>
  <r>
    <n v="6352290"/>
    <s v="Sevtap"/>
    <s v="Female"/>
    <d v="2030-04-25T00:00:00"/>
    <n v="4480"/>
    <n v="46"/>
    <n v="1.03E-2"/>
    <n v="1.0267857142857143E-2"/>
    <x v="0"/>
    <n v="32"/>
    <n v="143360"/>
    <s v="EUR"/>
    <x v="8"/>
    <x v="6"/>
    <n v="0.2"/>
    <x v="0"/>
    <s v="Fuscia"/>
  </r>
  <r>
    <n v="391720483"/>
    <s v="Kemal"/>
    <s v="Male"/>
    <d v="2030-08-05T00:00:00"/>
    <n v="4111"/>
    <n v="23"/>
    <n v="5.5999999999999999E-3"/>
    <n v="5.5947458039406466E-3"/>
    <x v="0"/>
    <n v="20"/>
    <n v="82220"/>
    <s v="EUR"/>
    <x v="9"/>
    <x v="3"/>
    <n v="0.2"/>
    <x v="1"/>
    <s v="Purple"/>
  </r>
  <r>
    <n v="122717259"/>
    <s v="Resul"/>
    <s v="Male"/>
    <d v="2030-04-29T00:00:00"/>
    <n v="4160"/>
    <n v="47"/>
    <n v="1.1299999999999999E-2"/>
    <n v="1.1298076923076923E-2"/>
    <x v="0"/>
    <n v="25"/>
    <n v="104000"/>
    <s v="EUR"/>
    <x v="10"/>
    <x v="2"/>
    <n v="0.2"/>
    <x v="1"/>
    <s v="Fuscia"/>
  </r>
  <r>
    <n v="816960991"/>
    <s v="Beşir"/>
    <s v="Male"/>
    <d v="2030-05-26T00:00:00"/>
    <n v="4162"/>
    <n v="22"/>
    <n v="5.3E-3"/>
    <n v="5.2859202306583374E-3"/>
    <x v="0"/>
    <n v="49"/>
    <n v="203938"/>
    <s v="EUR"/>
    <x v="11"/>
    <x v="0"/>
    <n v="0.2"/>
    <x v="0"/>
    <s v="Goldenrod"/>
  </r>
  <r>
    <n v="429407385"/>
    <s v="Yusuf"/>
    <s v="Male"/>
    <d v="2031-03-08T00:00:00"/>
    <n v="4466"/>
    <n v="28"/>
    <n v="6.3E-3"/>
    <n v="6.269592476489028E-3"/>
    <x v="0"/>
    <n v="40"/>
    <n v="178640"/>
    <s v="EUR"/>
    <x v="12"/>
    <x v="1"/>
    <n v="0.2"/>
    <x v="0"/>
    <s v="Aquamarine"/>
  </r>
  <r>
    <n v="989830365"/>
    <s v="Soner"/>
    <s v="Male"/>
    <d v="2031-05-18T00:00:00"/>
    <n v="1220"/>
    <n v="10"/>
    <n v="8.2000000000000007E-3"/>
    <n v="8.1967213114754103E-3"/>
    <x v="0"/>
    <n v="49"/>
    <n v="59780"/>
    <s v="EUR"/>
    <x v="13"/>
    <x v="2"/>
    <n v="0.2"/>
    <x v="0"/>
    <s v="Aquamarine"/>
  </r>
  <r>
    <n v="142136793"/>
    <s v="Ali"/>
    <s v="Male"/>
    <d v="2031-01-28T00:00:00"/>
    <n v="3544"/>
    <n v="30"/>
    <n v="8.5000000000000006E-3"/>
    <n v="8.4650112866817163E-3"/>
    <x v="0"/>
    <n v="46"/>
    <n v="163024"/>
    <s v="EUR"/>
    <x v="14"/>
    <x v="1"/>
    <n v="0.2"/>
    <x v="0"/>
    <s v="Teal"/>
  </r>
  <r>
    <n v="810311764"/>
    <s v="Hasan"/>
    <s v="Male"/>
    <d v="2030-05-27T00:00:00"/>
    <n v="3030"/>
    <n v="21"/>
    <n v="6.8999999999999999E-3"/>
    <n v="6.9306930693069308E-3"/>
    <x v="1"/>
    <n v="31"/>
    <n v="93930"/>
    <s v="EUR"/>
    <x v="0"/>
    <x v="9"/>
    <n v="0.2"/>
    <x v="0"/>
    <s v="Mauv"/>
  </r>
  <r>
    <n v="105671652"/>
    <s v="Hüseyin"/>
    <s v="Male"/>
    <d v="2030-04-07T00:00:00"/>
    <n v="4159"/>
    <n v="38"/>
    <n v="9.1000000000000004E-3"/>
    <n v="9.1368117335898051E-3"/>
    <x v="0"/>
    <n v="46"/>
    <n v="191314"/>
    <s v="EUR"/>
    <x v="1"/>
    <x v="7"/>
    <n v="0.2"/>
    <x v="1"/>
    <s v="Maroon"/>
  </r>
  <r>
    <n v="551212865"/>
    <s v="Canan"/>
    <s v="Female"/>
    <d v="2032-12-23T00:00:00"/>
    <n v="1000"/>
    <n v="11"/>
    <n v="1.0999999999999999E-2"/>
    <n v="1.0999999999999999E-2"/>
    <x v="0"/>
    <n v="34"/>
    <n v="34000"/>
    <s v="EUR"/>
    <x v="2"/>
    <x v="6"/>
    <n v="0.2"/>
    <x v="1"/>
    <s v="Fuscia"/>
  </r>
  <r>
    <n v="794964429"/>
    <s v="Cansu"/>
    <s v="Female"/>
    <d v="2030-06-03T00:00:00"/>
    <n v="3786"/>
    <n v="48"/>
    <n v="1.2699999999999999E-2"/>
    <n v="1.2678288431061807E-2"/>
    <x v="0"/>
    <n v="24"/>
    <n v="90864"/>
    <s v="EUR"/>
    <x v="3"/>
    <x v="5"/>
    <n v="0.2"/>
    <x v="1"/>
    <s v="Blue"/>
  </r>
  <r>
    <n v="902392592"/>
    <s v="Kenan"/>
    <s v="Male"/>
    <d v="2030-08-22T00:00:00"/>
    <n v="2824"/>
    <n v="17"/>
    <n v="6.0000000000000001E-3"/>
    <n v="6.0198300283286115E-3"/>
    <x v="0"/>
    <n v="32"/>
    <n v="90368"/>
    <s v="EUR"/>
    <x v="4"/>
    <x v="7"/>
    <n v="0.2"/>
    <x v="1"/>
    <s v="Orange"/>
  </r>
  <r>
    <n v="488894497"/>
    <s v="Mirza"/>
    <s v="Male"/>
    <d v="2032-08-26T00:00:00"/>
    <n v="2173"/>
    <n v="39"/>
    <n v="1.7899999999999999E-2"/>
    <n v="1.7947537965945698E-2"/>
    <x v="0"/>
    <n v="37"/>
    <n v="80401"/>
    <s v="EUR"/>
    <x v="5"/>
    <x v="9"/>
    <n v="0.2"/>
    <x v="0"/>
    <s v="Orange"/>
  </r>
  <r>
    <n v="449767153"/>
    <s v="Ebrar"/>
    <s v="Female"/>
    <d v="2030-06-01T00:00:00"/>
    <n v="2940"/>
    <n v="35"/>
    <n v="1.1900000000000001E-2"/>
    <n v="1.1904761904761904E-2"/>
    <x v="0"/>
    <n v="31"/>
    <n v="91140"/>
    <s v="EUR"/>
    <x v="6"/>
    <x v="2"/>
    <n v="0.2"/>
    <x v="0"/>
    <s v="Teal"/>
  </r>
  <r>
    <n v="244672945"/>
    <s v="Semih"/>
    <s v="Male"/>
    <d v="2030-12-24T00:00:00"/>
    <n v="1952"/>
    <n v="12"/>
    <n v="6.1000000000000004E-3"/>
    <n v="6.1475409836065573E-3"/>
    <x v="0"/>
    <n v="22"/>
    <n v="42944"/>
    <s v="EUR"/>
    <x v="6"/>
    <x v="4"/>
    <n v="0.2"/>
    <x v="1"/>
    <s v="Khaki"/>
  </r>
  <r>
    <n v="543840471"/>
    <s v="Sevcan"/>
    <s v="Female"/>
    <d v="2032-12-05T00:00:00"/>
    <n v="2212"/>
    <n v="16"/>
    <n v="7.1999999999999998E-3"/>
    <n v="7.2332730560578659E-3"/>
    <x v="0"/>
    <n v="34"/>
    <n v="75208"/>
    <s v="EUR"/>
    <x v="7"/>
    <x v="6"/>
    <n v="0.2"/>
    <x v="1"/>
    <s v="Puce"/>
  </r>
  <r>
    <n v="201257872"/>
    <s v="Sevtap"/>
    <s v="Female"/>
    <d v="2030-05-08T00:00:00"/>
    <n v="3361"/>
    <n v="37"/>
    <n v="1.0999999999999999E-2"/>
    <n v="1.1008628384409401E-2"/>
    <x v="0"/>
    <n v="37"/>
    <n v="124357"/>
    <s v="EUR"/>
    <x v="8"/>
    <x v="9"/>
    <n v="0.2"/>
    <x v="1"/>
    <s v="Red"/>
  </r>
  <r>
    <n v="810895889"/>
    <s v="Kemal"/>
    <s v="Male"/>
    <d v="2030-02-16T00:00:00"/>
    <n v="2359"/>
    <n v="33"/>
    <n v="1.4E-2"/>
    <n v="1.3988978380669776E-2"/>
    <x v="0"/>
    <n v="46"/>
    <n v="108514"/>
    <s v="EUR"/>
    <x v="9"/>
    <x v="7"/>
    <n v="0.2"/>
    <x v="1"/>
    <s v="Maroon"/>
  </r>
  <r>
    <n v="900057510"/>
    <s v="Resul"/>
    <s v="Male"/>
    <d v="2031-04-21T00:00:00"/>
    <n v="1957"/>
    <n v="34"/>
    <n v="1.7399999999999999E-2"/>
    <n v="1.7373530914665303E-2"/>
    <x v="0"/>
    <n v="37"/>
    <n v="72409"/>
    <s v="EUR"/>
    <x v="10"/>
    <x v="2"/>
    <n v="0.2"/>
    <x v="0"/>
    <s v="Turquoise"/>
  </r>
  <r>
    <n v="708473039"/>
    <s v="Hüseyin"/>
    <s v="Male"/>
    <d v="2031-12-03T00:00:00"/>
    <n v="1611"/>
    <n v="45"/>
    <n v="2.7900000000000001E-2"/>
    <n v="2.7932960893854747E-2"/>
    <x v="0"/>
    <n v="33"/>
    <n v="53163"/>
    <s v="EUR"/>
    <x v="11"/>
    <x v="5"/>
    <n v="0.2"/>
    <x v="0"/>
    <s v="Crimson"/>
  </r>
  <r>
    <n v="658121266"/>
    <s v="Canan"/>
    <s v="Female"/>
    <d v="2030-12-29T00:00:00"/>
    <n v="2197"/>
    <n v="41"/>
    <n v="1.8700000000000001E-2"/>
    <n v="1.8661811561219845E-2"/>
    <x v="0"/>
    <n v="40"/>
    <n v="87880"/>
    <s v="EUR"/>
    <x v="12"/>
    <x v="9"/>
    <n v="0.2"/>
    <x v="1"/>
    <s v="Aquamarine"/>
  </r>
  <r>
    <n v="106533270"/>
    <s v="Cansu"/>
    <s v="Female"/>
    <d v="2030-02-20T00:00:00"/>
    <n v="1111"/>
    <n v="45"/>
    <n v="4.0500000000000001E-2"/>
    <n v="4.0504050405040501E-2"/>
    <x v="1"/>
    <n v="48"/>
    <n v="53328"/>
    <s v="EUR"/>
    <x v="13"/>
    <x v="6"/>
    <n v="0.2"/>
    <x v="1"/>
    <s v="Aquamarine"/>
  </r>
  <r>
    <n v="588105298"/>
    <s v="Kenan"/>
    <s v="Male"/>
    <d v="2031-05-30T00:00:00"/>
    <n v="1486"/>
    <n v="32"/>
    <n v="2.1499999999999998E-2"/>
    <n v="2.1534320323014805E-2"/>
    <x v="0"/>
    <n v="35"/>
    <n v="52010"/>
    <s v="EUR"/>
    <x v="14"/>
    <x v="10"/>
    <n v="0.2"/>
    <x v="0"/>
    <s v="Goldenrod"/>
  </r>
  <r>
    <n v="855925986"/>
    <s v="Mirza"/>
    <s v="Male"/>
    <d v="2031-06-24T00:00:00"/>
    <n v="3703"/>
    <n v="12"/>
    <n v="3.2000000000000002E-3"/>
    <n v="3.2406157169862274E-3"/>
    <x v="0"/>
    <n v="29"/>
    <n v="107387"/>
    <s v="EUR"/>
    <x v="0"/>
    <x v="6"/>
    <n v="0.2"/>
    <x v="0"/>
    <s v="Khaki"/>
  </r>
  <r>
    <n v="650802858"/>
    <s v="Ebrar"/>
    <s v="Female"/>
    <d v="2031-01-06T00:00:00"/>
    <n v="3289"/>
    <n v="33"/>
    <n v="0.01"/>
    <n v="1.0033444816053512E-2"/>
    <x v="0"/>
    <n v="20"/>
    <n v="65780"/>
    <s v="EUR"/>
    <x v="1"/>
    <x v="7"/>
    <n v="0.2"/>
    <x v="0"/>
    <s v="Violet"/>
  </r>
  <r>
    <n v="2915337"/>
    <s v="Semih"/>
    <s v="Male"/>
    <d v="2031-04-01T00:00:00"/>
    <n v="1818"/>
    <n v="49"/>
    <n v="2.7E-2"/>
    <n v="2.6952695269526952E-2"/>
    <x v="0"/>
    <n v="38"/>
    <n v="69084"/>
    <s v="EUR"/>
    <x v="2"/>
    <x v="8"/>
    <n v="0.2"/>
    <x v="1"/>
    <s v="Khaki"/>
  </r>
  <r>
    <n v="63645222"/>
    <s v="Sevcan"/>
    <s v="Female"/>
    <d v="2031-12-06T00:00:00"/>
    <n v="3058"/>
    <n v="17"/>
    <n v="5.5999999999999999E-3"/>
    <n v="5.5591890124264227E-3"/>
    <x v="0"/>
    <n v="22"/>
    <n v="67276"/>
    <s v="EUR"/>
    <x v="3"/>
    <x v="0"/>
    <n v="0.2"/>
    <x v="0"/>
    <s v="Fuscia"/>
  </r>
  <r>
    <n v="462585648"/>
    <s v="Sevtap"/>
    <s v="Female"/>
    <d v="2031-01-12T00:00:00"/>
    <n v="4383"/>
    <n v="16"/>
    <n v="3.7000000000000002E-3"/>
    <n v="3.650467716176135E-3"/>
    <x v="0"/>
    <n v="42"/>
    <n v="184086"/>
    <s v="EUR"/>
    <x v="4"/>
    <x v="4"/>
    <n v="0.2"/>
    <x v="1"/>
    <s v="Goldenrod"/>
  </r>
  <r>
    <n v="676608987"/>
    <s v="Kemal"/>
    <s v="Male"/>
    <d v="2032-03-19T00:00:00"/>
    <n v="1018"/>
    <n v="40"/>
    <n v="3.9300000000000002E-2"/>
    <n v="3.9292730844793712E-2"/>
    <x v="1"/>
    <n v="30"/>
    <n v="30540"/>
    <s v="EUR"/>
    <x v="5"/>
    <x v="0"/>
    <n v="0.2"/>
    <x v="0"/>
    <s v="Pink"/>
  </r>
  <r>
    <n v="770830751"/>
    <s v="Resul"/>
    <s v="Male"/>
    <d v="2031-07-29T00:00:00"/>
    <n v="1537"/>
    <n v="19"/>
    <n v="1.24E-2"/>
    <n v="1.2361743656473649E-2"/>
    <x v="0"/>
    <n v="27"/>
    <n v="41499"/>
    <s v="EUR"/>
    <x v="6"/>
    <x v="9"/>
    <n v="0.2"/>
    <x v="1"/>
    <s v="Green"/>
  </r>
  <r>
    <n v="569049042"/>
    <s v="Beşir"/>
    <s v="Male"/>
    <d v="2032-05-23T00:00:00"/>
    <n v="3096"/>
    <n v="40"/>
    <n v="1.29E-2"/>
    <n v="1.2919896640826873E-2"/>
    <x v="0"/>
    <n v="42"/>
    <n v="130032"/>
    <s v="EUR"/>
    <x v="6"/>
    <x v="2"/>
    <n v="0.2"/>
    <x v="0"/>
    <s v="Goldenrod"/>
  </r>
  <r>
    <n v="703796796"/>
    <s v="Yusuf"/>
    <s v="Male"/>
    <d v="2032-06-27T00:00:00"/>
    <n v="1438"/>
    <n v="35"/>
    <n v="2.4299999999999999E-2"/>
    <n v="2.4339360222531293E-2"/>
    <x v="0"/>
    <n v="31"/>
    <n v="44578"/>
    <s v="EUR"/>
    <x v="7"/>
    <x v="9"/>
    <n v="0.2"/>
    <x v="0"/>
    <s v="Teal"/>
  </r>
  <r>
    <n v="593484970"/>
    <s v="Soner"/>
    <s v="Male"/>
    <d v="2030-04-16T00:00:00"/>
    <n v="2172"/>
    <n v="10"/>
    <n v="4.5999999999999999E-3"/>
    <n v="4.6040515653775326E-3"/>
    <x v="0"/>
    <n v="42"/>
    <n v="91224"/>
    <s v="EUR"/>
    <x v="8"/>
    <x v="8"/>
    <n v="0.2"/>
    <x v="0"/>
    <s v="Indigo"/>
  </r>
  <r>
    <n v="893453145"/>
    <s v="Ali"/>
    <s v="Male"/>
    <d v="2030-09-15T00:00:00"/>
    <n v="3090"/>
    <n v="46"/>
    <n v="1.49E-2"/>
    <n v="1.4886731391585761E-2"/>
    <x v="0"/>
    <n v="31"/>
    <n v="95790"/>
    <s v="EUR"/>
    <x v="9"/>
    <x v="3"/>
    <n v="0.2"/>
    <x v="1"/>
    <s v="Red"/>
  </r>
  <r>
    <n v="304099768"/>
    <s v="Hasan"/>
    <s v="Male"/>
    <d v="2032-06-15T00:00:00"/>
    <n v="4041"/>
    <n v="25"/>
    <n v="6.1999999999999998E-3"/>
    <n v="6.186587478346944E-3"/>
    <x v="0"/>
    <n v="21"/>
    <n v="84861"/>
    <s v="EUR"/>
    <x v="10"/>
    <x v="6"/>
    <n v="0.2"/>
    <x v="1"/>
    <s v="Green"/>
  </r>
  <r>
    <n v="869759082"/>
    <s v="Hüseyin"/>
    <s v="Male"/>
    <d v="2031-05-28T00:00:00"/>
    <n v="4066"/>
    <n v="49"/>
    <n v="1.21E-2"/>
    <n v="1.2051155927201181E-2"/>
    <x v="0"/>
    <n v="50"/>
    <n v="203300"/>
    <s v="EUR"/>
    <x v="11"/>
    <x v="9"/>
    <n v="0.2"/>
    <x v="0"/>
    <s v="Violet"/>
  </r>
  <r>
    <n v="922042266"/>
    <s v="Canan"/>
    <s v="Female"/>
    <d v="2032-04-18T00:00:00"/>
    <n v="1019"/>
    <n v="24"/>
    <n v="2.3599999999999999E-2"/>
    <n v="2.3552502453385672E-2"/>
    <x v="0"/>
    <n v="26"/>
    <n v="26494"/>
    <s v="EUR"/>
    <x v="12"/>
    <x v="6"/>
    <n v="0.2"/>
    <x v="0"/>
    <s v="Green"/>
  </r>
  <r>
    <n v="30027623"/>
    <s v="Cansu"/>
    <s v="Female"/>
    <d v="2030-09-21T00:00:00"/>
    <n v="1193"/>
    <n v="10"/>
    <n v="8.3999999999999995E-3"/>
    <n v="8.3822296730930428E-3"/>
    <x v="1"/>
    <n v="28"/>
    <n v="33404"/>
    <s v="EUR"/>
    <x v="13"/>
    <x v="2"/>
    <n v="0.2"/>
    <x v="0"/>
    <s v="Teal"/>
  </r>
  <r>
    <n v="129880244"/>
    <s v="Kenan"/>
    <s v="Male"/>
    <d v="2032-12-24T00:00:00"/>
    <n v="1352"/>
    <n v="47"/>
    <n v="3.4799999999999998E-2"/>
    <n v="3.4763313609467453E-2"/>
    <x v="1"/>
    <n v="23"/>
    <n v="31096"/>
    <s v="EUR"/>
    <x v="14"/>
    <x v="2"/>
    <n v="0.2"/>
    <x v="1"/>
    <s v="Fuscia"/>
  </r>
  <r>
    <n v="91527841"/>
    <s v="Mirza"/>
    <s v="Male"/>
    <d v="2030-12-23T00:00:00"/>
    <n v="1354"/>
    <n v="20"/>
    <n v="1.4800000000000001E-2"/>
    <n v="1.4771048744460856E-2"/>
    <x v="0"/>
    <n v="48"/>
    <n v="64992"/>
    <s v="EUR"/>
    <x v="0"/>
    <x v="4"/>
    <n v="0.2"/>
    <x v="1"/>
    <s v="Mauv"/>
  </r>
  <r>
    <n v="628527609"/>
    <s v="Ebrar"/>
    <s v="Female"/>
    <d v="2030-07-26T00:00:00"/>
    <n v="3520"/>
    <n v="33"/>
    <n v="9.4000000000000004E-3"/>
    <n v="9.3749999999999997E-3"/>
    <x v="0"/>
    <n v="22"/>
    <n v="77440"/>
    <s v="EUR"/>
    <x v="1"/>
    <x v="6"/>
    <n v="0.2"/>
    <x v="1"/>
    <s v="Turquoise"/>
  </r>
  <r>
    <n v="287509539"/>
    <s v="Semih"/>
    <s v="Male"/>
    <d v="2032-06-15T00:00:00"/>
    <n v="3805"/>
    <n v="49"/>
    <n v="1.29E-2"/>
    <n v="1.2877792378449408E-2"/>
    <x v="0"/>
    <n v="20"/>
    <n v="76100"/>
    <s v="EUR"/>
    <x v="2"/>
    <x v="4"/>
    <n v="0.2"/>
    <x v="0"/>
    <s v="Teal"/>
  </r>
  <r>
    <n v="243109829"/>
    <s v="Sevcan"/>
    <s v="Female"/>
    <d v="2030-10-23T00:00:00"/>
    <n v="3839"/>
    <n v="42"/>
    <n v="1.09E-2"/>
    <n v="1.094034904923157E-2"/>
    <x v="0"/>
    <n v="49"/>
    <n v="188111"/>
    <s v="EUR"/>
    <x v="3"/>
    <x v="3"/>
    <n v="0.2"/>
    <x v="1"/>
    <s v="Orange"/>
  </r>
  <r>
    <n v="732202292"/>
    <s v="Sevtap"/>
    <s v="Female"/>
    <d v="2032-03-21T00:00:00"/>
    <n v="3138"/>
    <n v="38"/>
    <n v="1.21E-2"/>
    <n v="1.2109623964308477E-2"/>
    <x v="0"/>
    <n v="37"/>
    <n v="116106"/>
    <s v="EUR"/>
    <x v="4"/>
    <x v="6"/>
    <n v="0.2"/>
    <x v="1"/>
    <s v="Maroon"/>
  </r>
  <r>
    <n v="323846627"/>
    <s v="Kemal"/>
    <s v="Male"/>
    <d v="2032-07-27T00:00:00"/>
    <n v="4380"/>
    <n v="14"/>
    <n v="3.2000000000000002E-3"/>
    <n v="3.1963470319634705E-3"/>
    <x v="0"/>
    <n v="36"/>
    <n v="157680"/>
    <s v="EUR"/>
    <x v="5"/>
    <x v="4"/>
    <n v="0.2"/>
    <x v="0"/>
    <s v="Maroon"/>
  </r>
  <r>
    <n v="325007338"/>
    <s v="Resul"/>
    <s v="Male"/>
    <d v="2032-11-02T00:00:00"/>
    <n v="2843"/>
    <n v="35"/>
    <n v="1.23E-2"/>
    <n v="1.2310939148786493E-2"/>
    <x v="0"/>
    <n v="24"/>
    <n v="68232"/>
    <s v="EUR"/>
    <x v="6"/>
    <x v="1"/>
    <n v="0.2"/>
    <x v="0"/>
    <s v="Purple"/>
  </r>
  <r>
    <n v="789408484"/>
    <s v="Beşir"/>
    <s v="Male"/>
    <d v="2031-02-28T00:00:00"/>
    <n v="3137"/>
    <n v="25"/>
    <n v="8.0000000000000002E-3"/>
    <n v="7.9693975135479763E-3"/>
    <x v="0"/>
    <n v="44"/>
    <n v="138028"/>
    <s v="EUR"/>
    <x v="6"/>
    <x v="5"/>
    <n v="0.2"/>
    <x v="0"/>
    <s v="Maroon"/>
  </r>
  <r>
    <n v="483321534"/>
    <s v="Yusuf"/>
    <s v="Male"/>
    <d v="2031-01-31T00:00:00"/>
    <n v="1905"/>
    <n v="43"/>
    <n v="2.2599999999999999E-2"/>
    <n v="2.2572178477690288E-2"/>
    <x v="1"/>
    <n v="22"/>
    <n v="41910"/>
    <s v="EUR"/>
    <x v="7"/>
    <x v="7"/>
    <n v="0.2"/>
    <x v="1"/>
    <s v="Mauv"/>
  </r>
  <r>
    <n v="963364321"/>
    <s v="Soner"/>
    <s v="Male"/>
    <d v="2030-03-11T00:00:00"/>
    <n v="1124"/>
    <n v="20"/>
    <n v="1.78E-2"/>
    <n v="1.7793594306049824E-2"/>
    <x v="0"/>
    <n v="31"/>
    <n v="34844"/>
    <s v="EUR"/>
    <x v="8"/>
    <x v="5"/>
    <n v="0.2"/>
    <x v="0"/>
    <s v="Red"/>
  </r>
  <r>
    <n v="621905664"/>
    <s v="Ali"/>
    <s v="Male"/>
    <d v="2030-06-07T00:00:00"/>
    <n v="1498"/>
    <n v="22"/>
    <n v="1.47E-2"/>
    <n v="1.4686248331108143E-2"/>
    <x v="0"/>
    <n v="46"/>
    <n v="68908"/>
    <s v="EUR"/>
    <x v="9"/>
    <x v="0"/>
    <n v="0.2"/>
    <x v="0"/>
    <s v="Puce"/>
  </r>
  <r>
    <n v="406697823"/>
    <s v="Hasan"/>
    <s v="Male"/>
    <d v="2030-02-15T00:00:00"/>
    <n v="2421"/>
    <n v="11"/>
    <n v="4.4999999999999997E-3"/>
    <n v="4.543577034283354E-3"/>
    <x v="0"/>
    <n v="37"/>
    <n v="89577"/>
    <s v="EUR"/>
    <x v="10"/>
    <x v="5"/>
    <n v="0.2"/>
    <x v="0"/>
    <s v="Indigo"/>
  </r>
  <r>
    <n v="978656862"/>
    <s v="Hüseyin"/>
    <s v="Male"/>
    <d v="2031-01-31T00:00:00"/>
    <n v="4084"/>
    <n v="25"/>
    <n v="6.1000000000000004E-3"/>
    <n v="6.1214495592556315E-3"/>
    <x v="0"/>
    <n v="33"/>
    <n v="134772"/>
    <s v="EUR"/>
    <x v="11"/>
    <x v="10"/>
    <n v="0.2"/>
    <x v="1"/>
    <s v="Blue"/>
  </r>
  <r>
    <n v="48759631"/>
    <s v="Canan"/>
    <s v="Female"/>
    <d v="2032-10-16T00:00:00"/>
    <n v="3095"/>
    <n v="39"/>
    <n v="1.26E-2"/>
    <n v="1.2600969305331179E-2"/>
    <x v="1"/>
    <n v="43"/>
    <n v="133085"/>
    <s v="EUR"/>
    <x v="12"/>
    <x v="4"/>
    <n v="0.2"/>
    <x v="1"/>
    <s v="Crimson"/>
  </r>
  <r>
    <n v="323835594"/>
    <s v="Cansu"/>
    <s v="Female"/>
    <d v="2030-01-06T00:00:00"/>
    <n v="4490"/>
    <n v="22"/>
    <n v="4.8999999999999998E-3"/>
    <n v="4.8997772828507794E-3"/>
    <x v="0"/>
    <n v="45"/>
    <n v="202050"/>
    <s v="EUR"/>
    <x v="13"/>
    <x v="8"/>
    <n v="0.2"/>
    <x v="0"/>
    <s v="Puce"/>
  </r>
  <r>
    <n v="85214067"/>
    <s v="Kenan"/>
    <s v="Male"/>
    <d v="2030-02-03T00:00:00"/>
    <n v="2044"/>
    <n v="15"/>
    <n v="7.3000000000000001E-3"/>
    <n v="7.3385518590998039E-3"/>
    <x v="0"/>
    <n v="35"/>
    <n v="71540"/>
    <s v="EUR"/>
    <x v="14"/>
    <x v="4"/>
    <n v="0.2"/>
    <x v="1"/>
    <s v="Purple"/>
  </r>
  <r>
    <n v="582419811"/>
    <s v="Mirza"/>
    <s v="Male"/>
    <d v="2030-05-04T00:00:00"/>
    <n v="3522"/>
    <n v="30"/>
    <n v="8.5000000000000006E-3"/>
    <n v="8.5178875638841564E-3"/>
    <x v="0"/>
    <n v="27"/>
    <n v="95094"/>
    <s v="EUR"/>
    <x v="0"/>
    <x v="2"/>
    <n v="0.2"/>
    <x v="0"/>
    <s v="Crimson"/>
  </r>
  <r>
    <n v="633226472"/>
    <s v="Ebrar"/>
    <s v="Female"/>
    <d v="2032-06-14T00:00:00"/>
    <n v="3071"/>
    <n v="21"/>
    <n v="6.7999999999999996E-3"/>
    <n v="6.8381634646694891E-3"/>
    <x v="0"/>
    <n v="48"/>
    <n v="147408"/>
    <s v="EUR"/>
    <x v="1"/>
    <x v="10"/>
    <n v="0.2"/>
    <x v="1"/>
    <s v="Teal"/>
  </r>
  <r>
    <n v="716113475"/>
    <s v="Semih"/>
    <s v="Male"/>
    <d v="2031-06-12T00:00:00"/>
    <n v="2012"/>
    <n v="45"/>
    <n v="2.24E-2"/>
    <n v="2.2365805168986085E-2"/>
    <x v="0"/>
    <n v="25"/>
    <n v="50300"/>
    <s v="EUR"/>
    <x v="2"/>
    <x v="3"/>
    <n v="0.2"/>
    <x v="1"/>
    <s v="Khaki"/>
  </r>
  <r>
    <n v="551941495"/>
    <s v="Sevcan"/>
    <s v="Female"/>
    <d v="2032-02-18T00:00:00"/>
    <n v="4555"/>
    <n v="38"/>
    <n v="8.3000000000000001E-3"/>
    <n v="8.3424807903402856E-3"/>
    <x v="1"/>
    <n v="36"/>
    <n v="163980"/>
    <s v="EUR"/>
    <x v="3"/>
    <x v="1"/>
    <n v="0.2"/>
    <x v="0"/>
    <s v="Goldenrod"/>
  </r>
  <r>
    <n v="470546714"/>
    <s v="Sevtap"/>
    <s v="Female"/>
    <d v="2030-06-27T00:00:00"/>
    <n v="4212"/>
    <n v="30"/>
    <n v="7.1000000000000004E-3"/>
    <n v="7.1225071225071226E-3"/>
    <x v="0"/>
    <n v="42"/>
    <n v="176904"/>
    <s v="EUR"/>
    <x v="4"/>
    <x v="8"/>
    <n v="0.2"/>
    <x v="0"/>
    <s v="Violet"/>
  </r>
  <r>
    <n v="529666115"/>
    <s v="Kemal"/>
    <s v="Male"/>
    <d v="2032-06-16T00:00:00"/>
    <n v="2078"/>
    <n v="38"/>
    <n v="1.83E-2"/>
    <n v="1.8286814244465831E-2"/>
    <x v="1"/>
    <n v="45"/>
    <n v="93510"/>
    <s v="EUR"/>
    <x v="5"/>
    <x v="7"/>
    <n v="0.2"/>
    <x v="1"/>
    <s v="Goldenrod"/>
  </r>
  <r>
    <n v="161129733"/>
    <s v="Resul"/>
    <s v="Male"/>
    <d v="2032-04-20T00:00:00"/>
    <n v="4874"/>
    <n v="49"/>
    <n v="1.01E-2"/>
    <n v="1.0053344275748872E-2"/>
    <x v="1"/>
    <n v="47"/>
    <n v="229078"/>
    <s v="EUR"/>
    <x v="6"/>
    <x v="0"/>
    <n v="0.2"/>
    <x v="0"/>
    <s v="Pink"/>
  </r>
  <r>
    <n v="99107275"/>
    <s v="Hüseyin"/>
    <s v="Male"/>
    <d v="2030-06-09T00:00:00"/>
    <n v="2202"/>
    <n v="18"/>
    <n v="8.2000000000000007E-3"/>
    <n v="8.1743869209809257E-3"/>
    <x v="0"/>
    <n v="38"/>
    <n v="83676"/>
    <s v="EUR"/>
    <x v="6"/>
    <x v="10"/>
    <n v="0.2"/>
    <x v="0"/>
    <s v="Maroon"/>
  </r>
  <r>
    <n v="931846150"/>
    <s v="Canan"/>
    <s v="Female"/>
    <d v="2031-03-29T00:00:00"/>
    <n v="1950"/>
    <n v="39"/>
    <n v="0.02"/>
    <n v="0.02"/>
    <x v="0"/>
    <n v="37"/>
    <n v="72150"/>
    <s v="EUR"/>
    <x v="7"/>
    <x v="3"/>
    <n v="0.2"/>
    <x v="1"/>
    <s v="Crimson"/>
  </r>
  <r>
    <n v="633393832"/>
    <s v="Cansu"/>
    <s v="Female"/>
    <d v="2030-09-17T00:00:00"/>
    <n v="1552"/>
    <n v="30"/>
    <n v="1.9300000000000001E-2"/>
    <n v="1.9329896907216496E-2"/>
    <x v="0"/>
    <n v="33"/>
    <n v="51216"/>
    <s v="EUR"/>
    <x v="8"/>
    <x v="9"/>
    <n v="0.2"/>
    <x v="1"/>
    <s v="Fuscia"/>
  </r>
  <r>
    <n v="182030758"/>
    <s v="Kenan"/>
    <s v="Male"/>
    <d v="2031-06-07T00:00:00"/>
    <n v="3959"/>
    <n v="46"/>
    <n v="1.1599999999999999E-2"/>
    <n v="1.1619095731245263E-2"/>
    <x v="0"/>
    <n v="33"/>
    <n v="130647"/>
    <s v="EUR"/>
    <x v="9"/>
    <x v="1"/>
    <n v="0.2"/>
    <x v="1"/>
    <s v="Crimson"/>
  </r>
  <r>
    <n v="727393723"/>
    <s v="Mirza"/>
    <s v="Male"/>
    <d v="2031-11-16T00:00:00"/>
    <n v="2416"/>
    <n v="44"/>
    <n v="1.8200000000000001E-2"/>
    <n v="1.8211920529801324E-2"/>
    <x v="0"/>
    <n v="28"/>
    <n v="67648"/>
    <s v="EUR"/>
    <x v="10"/>
    <x v="6"/>
    <n v="0.2"/>
    <x v="1"/>
    <s v="Teal"/>
  </r>
  <r>
    <n v="346920927"/>
    <s v="Ebrar"/>
    <s v="Female"/>
    <d v="2032-12-13T00:00:00"/>
    <n v="3385"/>
    <n v="33"/>
    <n v="9.7000000000000003E-3"/>
    <n v="9.7488921713441649E-3"/>
    <x v="0"/>
    <n v="35"/>
    <n v="118475"/>
    <s v="EUR"/>
    <x v="11"/>
    <x v="9"/>
    <n v="0.2"/>
    <x v="0"/>
    <s v="Goldenrod"/>
  </r>
  <r>
    <n v="736238785"/>
    <s v="Semih"/>
    <s v="Male"/>
    <d v="2031-01-28T00:00:00"/>
    <n v="4123"/>
    <n v="23"/>
    <n v="5.5999999999999999E-3"/>
    <n v="5.5784622847441182E-3"/>
    <x v="0"/>
    <n v="25"/>
    <n v="103075"/>
    <s v="EUR"/>
    <x v="12"/>
    <x v="5"/>
    <n v="0.2"/>
    <x v="0"/>
    <s v="Goldenrod"/>
  </r>
  <r>
    <n v="667855935"/>
    <s v="Sevcan"/>
    <s v="Female"/>
    <d v="2031-08-31T00:00:00"/>
    <n v="1632"/>
    <n v="42"/>
    <n v="2.5700000000000001E-2"/>
    <n v="2.5735294117647058E-2"/>
    <x v="1"/>
    <n v="24"/>
    <n v="39168"/>
    <s v="EUR"/>
    <x v="13"/>
    <x v="6"/>
    <n v="0.2"/>
    <x v="1"/>
    <s v="Violet"/>
  </r>
  <r>
    <n v="871617400"/>
    <s v="Sevtap"/>
    <s v="Female"/>
    <d v="2031-10-30T00:00:00"/>
    <n v="2102"/>
    <n v="25"/>
    <n v="1.1900000000000001E-2"/>
    <n v="1.1893434823977164E-2"/>
    <x v="0"/>
    <n v="42"/>
    <n v="88284"/>
    <s v="EUR"/>
    <x v="14"/>
    <x v="8"/>
    <n v="0.2"/>
    <x v="1"/>
    <s v="Blue"/>
  </r>
  <r>
    <n v="739189323"/>
    <s v="Kemal"/>
    <s v="Male"/>
    <d v="2030-03-26T00:00:00"/>
    <n v="1462"/>
    <n v="23"/>
    <n v="1.5699999999999999E-2"/>
    <n v="1.573187414500684E-2"/>
    <x v="0"/>
    <n v="35"/>
    <n v="51170"/>
    <s v="EUR"/>
    <x v="0"/>
    <x v="5"/>
    <n v="0.2"/>
    <x v="0"/>
    <s v="Orange"/>
  </r>
  <r>
    <n v="167072191"/>
    <s v="Resul"/>
    <s v="Male"/>
    <d v="2031-04-01T00:00:00"/>
    <n v="3236"/>
    <n v="11"/>
    <n v="3.3999999999999998E-3"/>
    <n v="3.399258343634116E-3"/>
    <x v="0"/>
    <n v="42"/>
    <n v="135912"/>
    <s v="EUR"/>
    <x v="1"/>
    <x v="6"/>
    <n v="0.2"/>
    <x v="0"/>
    <s v="Orange"/>
  </r>
  <r>
    <n v="490753729"/>
    <s v="Beşir"/>
    <s v="Male"/>
    <d v="2031-02-08T00:00:00"/>
    <n v="3818"/>
    <n v="20"/>
    <n v="5.1999999999999998E-3"/>
    <n v="5.2383446830801469E-3"/>
    <x v="0"/>
    <n v="27"/>
    <n v="103086"/>
    <s v="EUR"/>
    <x v="2"/>
    <x v="0"/>
    <n v="0.2"/>
    <x v="1"/>
    <s v="Mauv"/>
  </r>
  <r>
    <n v="523413264"/>
    <s v="Yusuf"/>
    <s v="Male"/>
    <d v="2031-10-26T00:00:00"/>
    <n v="1961"/>
    <n v="46"/>
    <n v="2.35E-2"/>
    <n v="2.3457419683834777E-2"/>
    <x v="0"/>
    <n v="30"/>
    <n v="58830"/>
    <s v="EUR"/>
    <x v="3"/>
    <x v="5"/>
    <n v="0.2"/>
    <x v="1"/>
    <s v="Goldenrod"/>
  </r>
  <r>
    <n v="405669941"/>
    <s v="Soner"/>
    <s v="Male"/>
    <d v="2030-11-06T00:00:00"/>
    <n v="4014"/>
    <n v="25"/>
    <n v="6.1999999999999998E-3"/>
    <n v="6.2282012954658697E-3"/>
    <x v="1"/>
    <n v="28"/>
    <n v="112392"/>
    <s v="EUR"/>
    <x v="4"/>
    <x v="7"/>
    <n v="0.2"/>
    <x v="1"/>
    <s v="Maroon"/>
  </r>
  <r>
    <n v="247006947"/>
    <s v="Ali"/>
    <s v="Male"/>
    <d v="2032-06-23T00:00:00"/>
    <n v="2717"/>
    <n v="10"/>
    <n v="3.7000000000000002E-3"/>
    <n v="3.6805299963194702E-3"/>
    <x v="0"/>
    <n v="39"/>
    <n v="105963"/>
    <s v="EUR"/>
    <x v="5"/>
    <x v="4"/>
    <n v="0.2"/>
    <x v="0"/>
    <s v="Orange"/>
  </r>
  <r>
    <n v="485359863"/>
    <s v="Hasan"/>
    <s v="Male"/>
    <d v="2030-10-10T00:00:00"/>
    <n v="3563"/>
    <n v="19"/>
    <n v="5.3E-3"/>
    <n v="5.3325849003648612E-3"/>
    <x v="0"/>
    <n v="36"/>
    <n v="128268"/>
    <s v="EUR"/>
    <x v="6"/>
    <x v="2"/>
    <n v="0.2"/>
    <x v="0"/>
    <s v="Yellow"/>
  </r>
  <r>
    <n v="898808771"/>
    <s v="Hüseyin"/>
    <s v="Male"/>
    <d v="2032-05-28T00:00:00"/>
    <n v="1894"/>
    <n v="46"/>
    <n v="2.4299999999999999E-2"/>
    <n v="2.4287222808870117E-2"/>
    <x v="0"/>
    <n v="46"/>
    <n v="87124"/>
    <s v="EUR"/>
    <x v="6"/>
    <x v="9"/>
    <n v="0.2"/>
    <x v="1"/>
    <s v="Mauv"/>
  </r>
  <r>
    <n v="150181758"/>
    <s v="Canan"/>
    <s v="Female"/>
    <d v="2032-05-17T00:00:00"/>
    <n v="1918"/>
    <n v="38"/>
    <n v="1.9800000000000002E-2"/>
    <n v="1.9812304483837331E-2"/>
    <x v="0"/>
    <n v="41"/>
    <n v="78638"/>
    <s v="EUR"/>
    <x v="7"/>
    <x v="10"/>
    <n v="0.2"/>
    <x v="1"/>
    <s v="Khaki"/>
  </r>
  <r>
    <n v="810630011"/>
    <s v="Cansu"/>
    <s v="Female"/>
    <d v="2032-10-08T00:00:00"/>
    <n v="2583"/>
    <n v="11"/>
    <n v="4.3E-3"/>
    <n v="4.2586140147115757E-3"/>
    <x v="0"/>
    <n v="48"/>
    <n v="123984"/>
    <s v="EUR"/>
    <x v="8"/>
    <x v="6"/>
    <n v="0.2"/>
    <x v="1"/>
    <s v="Puce"/>
  </r>
  <r>
    <n v="871304217"/>
    <s v="Kenan"/>
    <s v="Male"/>
    <d v="2032-01-19T00:00:00"/>
    <n v="3942"/>
    <n v="20"/>
    <n v="5.1000000000000004E-3"/>
    <n v="5.0735667174023336E-3"/>
    <x v="0"/>
    <n v="39"/>
    <n v="153738"/>
    <s v="EUR"/>
    <x v="9"/>
    <x v="1"/>
    <n v="0.2"/>
    <x v="1"/>
    <s v="Goldenrod"/>
  </r>
  <r>
    <n v="277913865"/>
    <s v="Mirza"/>
    <s v="Male"/>
    <d v="2030-08-28T00:00:00"/>
    <n v="1173"/>
    <n v="10"/>
    <n v="8.5000000000000006E-3"/>
    <n v="8.5251491901108273E-3"/>
    <x v="0"/>
    <n v="48"/>
    <n v="56304"/>
    <s v="EUR"/>
    <x v="10"/>
    <x v="8"/>
    <n v="0.2"/>
    <x v="0"/>
    <s v="Mauv"/>
  </r>
  <r>
    <n v="422523087"/>
    <s v="Ebrar"/>
    <s v="Female"/>
    <d v="2032-06-20T00:00:00"/>
    <n v="3655"/>
    <n v="32"/>
    <n v="8.8000000000000005E-3"/>
    <n v="8.7551299589603282E-3"/>
    <x v="0"/>
    <n v="41"/>
    <n v="149855"/>
    <s v="EUR"/>
    <x v="11"/>
    <x v="2"/>
    <n v="0.2"/>
    <x v="0"/>
    <s v="Violet"/>
  </r>
  <r>
    <n v="278583501"/>
    <s v="Semih"/>
    <s v="Male"/>
    <d v="2030-10-15T00:00:00"/>
    <n v="2446"/>
    <n v="33"/>
    <n v="1.35E-2"/>
    <n v="1.3491414554374489E-2"/>
    <x v="0"/>
    <n v="45"/>
    <n v="110070"/>
    <s v="EUR"/>
    <x v="12"/>
    <x v="8"/>
    <n v="0.2"/>
    <x v="0"/>
    <s v="Indigo"/>
  </r>
  <r>
    <n v="510933382"/>
    <s v="Sevcan"/>
    <s v="Female"/>
    <d v="2031-08-07T00:00:00"/>
    <n v="1645"/>
    <n v="26"/>
    <n v="1.5800000000000002E-2"/>
    <n v="1.5805471124620062E-2"/>
    <x v="0"/>
    <n v="47"/>
    <n v="77315"/>
    <s v="EUR"/>
    <x v="13"/>
    <x v="5"/>
    <n v="0.2"/>
    <x v="1"/>
    <s v="Crimson"/>
  </r>
  <r>
    <n v="332049582"/>
    <s v="Sevtap"/>
    <s v="Female"/>
    <d v="2030-01-06T00:00:00"/>
    <n v="1441"/>
    <n v="21"/>
    <n v="1.46E-2"/>
    <n v="1.457321304649549E-2"/>
    <x v="1"/>
    <n v="48"/>
    <n v="69168"/>
    <s v="EUR"/>
    <x v="14"/>
    <x v="0"/>
    <n v="0.2"/>
    <x v="0"/>
    <s v="Goldenrod"/>
  </r>
  <r>
    <n v="865117479"/>
    <s v="Kemal"/>
    <s v="Male"/>
    <d v="2031-11-20T00:00:00"/>
    <n v="1723"/>
    <n v="28"/>
    <n v="1.6299999999999999E-2"/>
    <n v="1.6250725478816019E-2"/>
    <x v="1"/>
    <n v="37"/>
    <n v="63751"/>
    <s v="EUR"/>
    <x v="0"/>
    <x v="6"/>
    <n v="0.2"/>
    <x v="1"/>
    <s v="Aquamarine"/>
  </r>
  <r>
    <n v="130900481"/>
    <s v="Resul"/>
    <s v="Male"/>
    <d v="2031-06-05T00:00:00"/>
    <n v="1172"/>
    <n v="31"/>
    <n v="2.6499999999999999E-2"/>
    <n v="2.6450511945392493E-2"/>
    <x v="0"/>
    <n v="27"/>
    <n v="31644"/>
    <s v="EUR"/>
    <x v="1"/>
    <x v="2"/>
    <n v="0.2"/>
    <x v="1"/>
    <s v="Turquoise"/>
  </r>
  <r>
    <n v="373577705"/>
    <s v="Beşir"/>
    <s v="Male"/>
    <d v="2031-05-19T00:00:00"/>
    <n v="4830"/>
    <n v="27"/>
    <n v="5.5999999999999999E-3"/>
    <n v="5.5900621118012426E-3"/>
    <x v="2"/>
    <n v="48"/>
    <n v="231840"/>
    <s v="EUR"/>
    <x v="2"/>
    <x v="2"/>
    <n v="0.2"/>
    <x v="0"/>
    <s v="Crimson"/>
  </r>
  <r>
    <n v="749959268"/>
    <s v="Yusuf"/>
    <s v="Male"/>
    <d v="2030-02-24T00:00:00"/>
    <n v="3222"/>
    <n v="47"/>
    <n v="1.46E-2"/>
    <n v="1.4587212911235258E-2"/>
    <x v="1"/>
    <n v="39"/>
    <n v="125658"/>
    <s v="EUR"/>
    <x v="3"/>
    <x v="3"/>
    <n v="0.2"/>
    <x v="0"/>
    <s v="Violet"/>
  </r>
  <r>
    <n v="675453217"/>
    <s v="Soner"/>
    <s v="Male"/>
    <d v="2030-08-08T00:00:00"/>
    <n v="4684"/>
    <n v="38"/>
    <n v="8.0999999999999996E-3"/>
    <n v="8.1127241673783091E-3"/>
    <x v="0"/>
    <n v="47"/>
    <n v="220148"/>
    <s v="EUR"/>
    <x v="4"/>
    <x v="4"/>
    <n v="0.2"/>
    <x v="1"/>
    <s v="Khaki"/>
  </r>
  <r>
    <n v="269060241"/>
    <s v="Ali"/>
    <s v="Male"/>
    <d v="2031-12-11T00:00:00"/>
    <n v="3133"/>
    <n v="28"/>
    <n v="8.8999999999999999E-3"/>
    <n v="8.9371209703159905E-3"/>
    <x v="0"/>
    <n v="32"/>
    <n v="100256"/>
    <s v="EUR"/>
    <x v="5"/>
    <x v="3"/>
    <n v="0.2"/>
    <x v="1"/>
    <s v="Mauv"/>
  </r>
  <r>
    <n v="571123642"/>
    <s v="Hasan"/>
    <s v="Male"/>
    <d v="2030-11-24T00:00:00"/>
    <n v="2925"/>
    <n v="50"/>
    <n v="1.7100000000000001E-2"/>
    <n v="1.7094017094017096E-2"/>
    <x v="0"/>
    <n v="42"/>
    <n v="122850"/>
    <s v="EUR"/>
    <x v="6"/>
    <x v="3"/>
    <n v="0.2"/>
    <x v="0"/>
    <s v="Red"/>
  </r>
  <r>
    <n v="764898706"/>
    <s v="Hüseyin"/>
    <s v="Male"/>
    <d v="2030-06-08T00:00:00"/>
    <n v="3877"/>
    <n v="50"/>
    <n v="1.29E-2"/>
    <n v="1.2896569512509672E-2"/>
    <x v="0"/>
    <n v="35"/>
    <n v="135695"/>
    <s v="EUR"/>
    <x v="6"/>
    <x v="2"/>
    <n v="0.2"/>
    <x v="0"/>
    <s v="Khaki"/>
  </r>
  <r>
    <n v="439577117"/>
    <s v="Canan"/>
    <s v="Female"/>
    <d v="2032-07-16T00:00:00"/>
    <n v="1507"/>
    <n v="47"/>
    <n v="3.1199999999999999E-2"/>
    <n v="3.1187790311877902E-2"/>
    <x v="0"/>
    <n v="20"/>
    <n v="30140"/>
    <s v="EUR"/>
    <x v="7"/>
    <x v="10"/>
    <n v="0.2"/>
    <x v="1"/>
    <s v="Red"/>
  </r>
  <r>
    <n v="225460271"/>
    <s v="Cansu"/>
    <s v="Female"/>
    <d v="2032-05-27T00:00:00"/>
    <n v="2335"/>
    <n v="14"/>
    <n v="6.0000000000000001E-3"/>
    <n v="5.9957173447537475E-3"/>
    <x v="0"/>
    <n v="24"/>
    <n v="56040"/>
    <s v="EUR"/>
    <x v="8"/>
    <x v="5"/>
    <n v="0.2"/>
    <x v="1"/>
    <s v="Khaki"/>
  </r>
  <r>
    <n v="915517789"/>
    <s v="Kenan"/>
    <s v="Male"/>
    <d v="2032-12-20T00:00:00"/>
    <n v="2276"/>
    <n v="37"/>
    <n v="1.6299999999999999E-2"/>
    <n v="1.6256590509666081E-2"/>
    <x v="0"/>
    <n v="25"/>
    <n v="56900"/>
    <s v="EUR"/>
    <x v="9"/>
    <x v="8"/>
    <n v="0.2"/>
    <x v="0"/>
    <s v="Violet"/>
  </r>
  <r>
    <n v="812562802"/>
    <s v="Mirza"/>
    <s v="Male"/>
    <d v="2031-08-29T00:00:00"/>
    <n v="1131"/>
    <n v="30"/>
    <n v="2.6499999999999999E-2"/>
    <n v="2.6525198938992044E-2"/>
    <x v="0"/>
    <n v="47"/>
    <n v="53157"/>
    <s v="EUR"/>
    <x v="10"/>
    <x v="10"/>
    <n v="0.2"/>
    <x v="1"/>
    <s v="Maroon"/>
  </r>
  <r>
    <n v="315531989"/>
    <s v="Ebrar"/>
    <s v="Female"/>
    <d v="2031-04-05T00:00:00"/>
    <n v="3816"/>
    <n v="47"/>
    <n v="1.23E-2"/>
    <n v="1.2316561844863731E-2"/>
    <x v="0"/>
    <n v="25"/>
    <n v="95400"/>
    <s v="EUR"/>
    <x v="11"/>
    <x v="10"/>
    <n v="0.2"/>
    <x v="0"/>
    <s v="Pink"/>
  </r>
  <r>
    <n v="216192860"/>
    <s v="Semih"/>
    <s v="Male"/>
    <d v="2032-05-25T00:00:00"/>
    <n v="3230"/>
    <n v="15"/>
    <n v="4.5999999999999999E-3"/>
    <n v="4.6439628482972135E-3"/>
    <x v="0"/>
    <n v="23"/>
    <n v="74290"/>
    <s v="EUR"/>
    <x v="12"/>
    <x v="0"/>
    <n v="0.2"/>
    <x v="1"/>
    <s v="Mauv"/>
  </r>
  <r>
    <n v="66823187"/>
    <s v="Sevcan"/>
    <s v="Female"/>
    <d v="2032-07-31T00:00:00"/>
    <n v="4192"/>
    <n v="45"/>
    <n v="1.0699999999999999E-2"/>
    <n v="1.0734732824427481E-2"/>
    <x v="1"/>
    <n v="38"/>
    <n v="159296"/>
    <s v="EUR"/>
    <x v="13"/>
    <x v="9"/>
    <n v="0.2"/>
    <x v="0"/>
    <s v="Fuscia"/>
  </r>
  <r>
    <n v="39261039"/>
    <s v="Sevtap"/>
    <s v="Female"/>
    <d v="2032-07-06T00:00:00"/>
    <n v="4896"/>
    <n v="32"/>
    <n v="6.4999999999999997E-3"/>
    <n v="6.5359477124183009E-3"/>
    <x v="0"/>
    <n v="26"/>
    <n v="127296"/>
    <s v="EUR"/>
    <x v="14"/>
    <x v="5"/>
    <n v="0.2"/>
    <x v="1"/>
    <s v="Fuscia"/>
  </r>
  <r>
    <n v="469383305"/>
    <s v="Kemal"/>
    <s v="Male"/>
    <d v="2030-11-28T00:00:00"/>
    <n v="2440"/>
    <n v="42"/>
    <n v="1.72E-2"/>
    <n v="1.7213114754098362E-2"/>
    <x v="0"/>
    <n v="38"/>
    <n v="92720"/>
    <s v="EUR"/>
    <x v="0"/>
    <x v="1"/>
    <n v="0.2"/>
    <x v="0"/>
    <s v="Purple"/>
  </r>
  <r>
    <n v="320819695"/>
    <s v="Resul"/>
    <s v="Male"/>
    <d v="2032-02-19T00:00:00"/>
    <n v="2557"/>
    <n v="14"/>
    <n v="5.4999999999999997E-3"/>
    <n v="5.4751662104028159E-3"/>
    <x v="0"/>
    <n v="22"/>
    <n v="56254"/>
    <s v="EUR"/>
    <x v="1"/>
    <x v="2"/>
    <n v="0.2"/>
    <x v="0"/>
    <s v="Maroon"/>
  </r>
  <r>
    <n v="743811693"/>
    <s v="Hüseyin"/>
    <s v="Male"/>
    <d v="2032-06-12T00:00:00"/>
    <n v="3409"/>
    <n v="48"/>
    <n v="1.41E-2"/>
    <n v="1.4080375476679377E-2"/>
    <x v="0"/>
    <n v="44"/>
    <n v="149996"/>
    <s v="EUR"/>
    <x v="2"/>
    <x v="5"/>
    <n v="0.2"/>
    <x v="1"/>
    <s v="Khaki"/>
  </r>
  <r>
    <n v="230398745"/>
    <s v="Canan"/>
    <s v="Female"/>
    <d v="2031-12-31T00:00:00"/>
    <n v="4947"/>
    <n v="32"/>
    <n v="6.4999999999999997E-3"/>
    <n v="6.4685668081665652E-3"/>
    <x v="0"/>
    <n v="39"/>
    <n v="192933"/>
    <s v="EUR"/>
    <x v="3"/>
    <x v="2"/>
    <n v="0.2"/>
    <x v="0"/>
    <s v="Purple"/>
  </r>
  <r>
    <n v="937610170"/>
    <s v="Cansu"/>
    <s v="Female"/>
    <d v="2031-09-01T00:00:00"/>
    <n v="3573"/>
    <n v="36"/>
    <n v="1.01E-2"/>
    <n v="1.0075566750629723E-2"/>
    <x v="0"/>
    <n v="22"/>
    <n v="78606"/>
    <s v="EUR"/>
    <x v="4"/>
    <x v="10"/>
    <n v="0.2"/>
    <x v="1"/>
    <s v="Puce"/>
  </r>
  <r>
    <n v="164110663"/>
    <s v="Kenan"/>
    <s v="Male"/>
    <d v="2030-01-10T00:00:00"/>
    <n v="1270"/>
    <n v="17"/>
    <n v="1.34E-2"/>
    <n v="1.3385826771653543E-2"/>
    <x v="0"/>
    <n v="27"/>
    <n v="34290"/>
    <s v="EUR"/>
    <x v="5"/>
    <x v="10"/>
    <n v="0.2"/>
    <x v="0"/>
    <s v="Orange"/>
  </r>
  <r>
    <n v="192369972"/>
    <s v="Mirza"/>
    <s v="Male"/>
    <d v="2032-03-05T00:00:00"/>
    <n v="3912"/>
    <n v="34"/>
    <n v="8.6999999999999994E-3"/>
    <n v="8.6912065439672809E-3"/>
    <x v="0"/>
    <n v="38"/>
    <n v="148656"/>
    <s v="EUR"/>
    <x v="6"/>
    <x v="0"/>
    <n v="0.2"/>
    <x v="0"/>
    <s v="Indigo"/>
  </r>
  <r>
    <n v="555555504"/>
    <s v="Ebrar"/>
    <s v="Female"/>
    <d v="2030-01-07T00:00:00"/>
    <n v="3569"/>
    <n v="43"/>
    <n v="1.2E-2"/>
    <n v="1.2048192771084338E-2"/>
    <x v="0"/>
    <n v="47"/>
    <n v="167743"/>
    <s v="EUR"/>
    <x v="6"/>
    <x v="5"/>
    <n v="0.2"/>
    <x v="0"/>
    <s v="Crimson"/>
  </r>
  <r>
    <n v="606299653"/>
    <s v="Semih"/>
    <s v="Male"/>
    <d v="2030-01-22T00:00:00"/>
    <n v="3359"/>
    <n v="23"/>
    <n v="6.7999999999999996E-3"/>
    <n v="6.8472759749925571E-3"/>
    <x v="0"/>
    <n v="20"/>
    <n v="67180"/>
    <s v="EUR"/>
    <x v="7"/>
    <x v="7"/>
    <n v="0.2"/>
    <x v="0"/>
    <s v="Orange"/>
  </r>
  <r>
    <n v="408112860"/>
    <s v="Sevcan"/>
    <s v="Female"/>
    <d v="2032-10-25T00:00:00"/>
    <n v="4200"/>
    <n v="22"/>
    <n v="5.1999999999999998E-3"/>
    <n v="5.2380952380952379E-3"/>
    <x v="0"/>
    <n v="33"/>
    <n v="138600"/>
    <s v="EUR"/>
    <x v="8"/>
    <x v="4"/>
    <n v="0.2"/>
    <x v="1"/>
    <s v="Green"/>
  </r>
  <r>
    <n v="325632395"/>
    <s v="Sevtap"/>
    <s v="Female"/>
    <d v="2032-04-17T00:00:00"/>
    <n v="1768"/>
    <n v="50"/>
    <n v="2.8299999999999999E-2"/>
    <n v="2.828054298642534E-2"/>
    <x v="0"/>
    <n v="40"/>
    <n v="70720"/>
    <s v="EUR"/>
    <x v="9"/>
    <x v="9"/>
    <n v="0.2"/>
    <x v="1"/>
    <s v="Khaki"/>
  </r>
  <r>
    <n v="886575714"/>
    <s v="Kemal"/>
    <s v="Male"/>
    <d v="2030-08-30T00:00:00"/>
    <n v="2594"/>
    <n v="42"/>
    <n v="1.6199999999999999E-2"/>
    <n v="1.6191210485736313E-2"/>
    <x v="1"/>
    <n v="28"/>
    <n v="72632"/>
    <s v="EUR"/>
    <x v="10"/>
    <x v="4"/>
    <n v="0.2"/>
    <x v="1"/>
    <s v="Puce"/>
  </r>
  <r>
    <n v="763654449"/>
    <s v="Resul"/>
    <s v="Male"/>
    <d v="2031-03-21T00:00:00"/>
    <n v="2107"/>
    <n v="29"/>
    <n v="1.38E-2"/>
    <n v="1.3763644992880873E-2"/>
    <x v="0"/>
    <n v="46"/>
    <n v="96922"/>
    <s v="EUR"/>
    <x v="11"/>
    <x v="7"/>
    <n v="0.2"/>
    <x v="0"/>
    <s v="Indigo"/>
  </r>
  <r>
    <n v="942852441"/>
    <s v="Beşir"/>
    <s v="Male"/>
    <d v="2031-07-16T00:00:00"/>
    <n v="1686"/>
    <n v="33"/>
    <n v="1.9599999999999999E-2"/>
    <n v="1.9572953736654804E-2"/>
    <x v="0"/>
    <n v="49"/>
    <n v="82614"/>
    <s v="EUR"/>
    <x v="12"/>
    <x v="9"/>
    <n v="0.2"/>
    <x v="1"/>
    <s v="Yellow"/>
  </r>
  <r>
    <n v="864574031"/>
    <s v="Yusuf"/>
    <s v="Male"/>
    <d v="2032-04-01T00:00:00"/>
    <n v="2160"/>
    <n v="29"/>
    <n v="1.34E-2"/>
    <n v="1.3425925925925926E-2"/>
    <x v="0"/>
    <n v="36"/>
    <n v="77760"/>
    <s v="EUR"/>
    <x v="13"/>
    <x v="5"/>
    <n v="0.2"/>
    <x v="1"/>
    <s v="Violet"/>
  </r>
  <r>
    <n v="512470980"/>
    <s v="Soner"/>
    <s v="Male"/>
    <d v="2031-04-01T00:00:00"/>
    <n v="4346"/>
    <n v="36"/>
    <n v="8.3000000000000001E-3"/>
    <n v="8.283479061205707E-3"/>
    <x v="0"/>
    <n v="28"/>
    <n v="121688"/>
    <s v="EUR"/>
    <x v="14"/>
    <x v="0"/>
    <n v="0.2"/>
    <x v="1"/>
    <s v="Crimson"/>
  </r>
  <r>
    <n v="980572645"/>
    <s v="Ali"/>
    <s v="Male"/>
    <d v="2032-02-24T00:00:00"/>
    <n v="1141"/>
    <n v="22"/>
    <n v="1.9300000000000001E-2"/>
    <n v="1.9281332164767746E-2"/>
    <x v="0"/>
    <n v="36"/>
    <n v="41076"/>
    <s v="EUR"/>
    <x v="0"/>
    <x v="4"/>
    <n v="0.2"/>
    <x v="0"/>
    <s v="Mauv"/>
  </r>
  <r>
    <n v="563226510"/>
    <s v="Hasan"/>
    <s v="Male"/>
    <d v="2030-02-20T00:00:00"/>
    <n v="2243"/>
    <n v="50"/>
    <n v="2.23E-2"/>
    <n v="2.229157378510923E-2"/>
    <x v="0"/>
    <n v="22"/>
    <n v="49346"/>
    <s v="EUR"/>
    <x v="1"/>
    <x v="8"/>
    <n v="0.2"/>
    <x v="0"/>
    <s v="Mauv"/>
  </r>
  <r>
    <n v="589173225"/>
    <s v="Hüseyin"/>
    <s v="Male"/>
    <d v="2030-10-02T00:00:00"/>
    <n v="2955"/>
    <n v="19"/>
    <n v="6.4000000000000003E-3"/>
    <n v="6.4297800338409478E-3"/>
    <x v="0"/>
    <n v="31"/>
    <n v="91605"/>
    <s v="EUR"/>
    <x v="2"/>
    <x v="10"/>
    <n v="0.2"/>
    <x v="0"/>
    <s v="Goldenrod"/>
  </r>
  <r>
    <n v="834244564"/>
    <s v="Canan"/>
    <s v="Female"/>
    <d v="2030-04-03T00:00:00"/>
    <n v="1065"/>
    <n v="10"/>
    <n v="9.4000000000000004E-3"/>
    <n v="9.3896713615023476E-3"/>
    <x v="0"/>
    <n v="20"/>
    <n v="21300"/>
    <s v="EUR"/>
    <x v="3"/>
    <x v="2"/>
    <n v="0.2"/>
    <x v="1"/>
    <s v="Turquoise"/>
  </r>
  <r>
    <n v="998333129"/>
    <s v="Cansu"/>
    <s v="Female"/>
    <d v="2031-01-14T00:00:00"/>
    <n v="2531"/>
    <n v="36"/>
    <n v="1.4200000000000001E-2"/>
    <n v="1.4223627024891347E-2"/>
    <x v="0"/>
    <n v="41"/>
    <n v="103771"/>
    <s v="EUR"/>
    <x v="4"/>
    <x v="3"/>
    <n v="0.2"/>
    <x v="1"/>
    <s v="Yellow"/>
  </r>
  <r>
    <n v="163967671"/>
    <s v="Kenan"/>
    <s v="Male"/>
    <d v="2030-12-01T00:00:00"/>
    <n v="3063"/>
    <n v="29"/>
    <n v="9.4999999999999998E-3"/>
    <n v="9.4678419849820433E-3"/>
    <x v="0"/>
    <n v="32"/>
    <n v="98016"/>
    <s v="EUR"/>
    <x v="5"/>
    <x v="4"/>
    <n v="0.2"/>
    <x v="0"/>
    <s v="Puce"/>
  </r>
  <r>
    <n v="900522368"/>
    <s v="Mirza"/>
    <s v="Male"/>
    <d v="2030-12-10T00:00:00"/>
    <n v="1067"/>
    <n v="50"/>
    <n v="4.6899999999999997E-2"/>
    <n v="4.6860356138706656E-2"/>
    <x v="0"/>
    <n v="48"/>
    <n v="51216"/>
    <s v="EUR"/>
    <x v="6"/>
    <x v="8"/>
    <n v="0.2"/>
    <x v="1"/>
    <s v="Yellow"/>
  </r>
  <r>
    <n v="413196922"/>
    <s v="Ebrar"/>
    <s v="Female"/>
    <d v="2032-09-14T00:00:00"/>
    <n v="1236"/>
    <n v="27"/>
    <n v="2.18E-2"/>
    <n v="2.1844660194174758E-2"/>
    <x v="0"/>
    <n v="38"/>
    <n v="46968"/>
    <s v="EUR"/>
    <x v="6"/>
    <x v="4"/>
    <n v="0.2"/>
    <x v="0"/>
    <s v="Green"/>
  </r>
  <r>
    <n v="453320891"/>
    <s v="Semih"/>
    <s v="Male"/>
    <d v="2031-02-05T00:00:00"/>
    <n v="3690"/>
    <n v="13"/>
    <n v="3.5000000000000001E-3"/>
    <n v="3.5230352303523035E-3"/>
    <x v="0"/>
    <n v="25"/>
    <n v="92250"/>
    <s v="EUR"/>
    <x v="7"/>
    <x v="3"/>
    <n v="0.2"/>
    <x v="1"/>
    <s v="Turquoise"/>
  </r>
  <r>
    <n v="472422663"/>
    <s v="Sevcan"/>
    <s v="Female"/>
    <d v="2032-04-27T00:00:00"/>
    <n v="4521"/>
    <n v="35"/>
    <n v="7.7000000000000002E-3"/>
    <n v="7.7416500774165004E-3"/>
    <x v="0"/>
    <n v="35"/>
    <n v="158235"/>
    <s v="EUR"/>
    <x v="8"/>
    <x v="0"/>
    <n v="0.2"/>
    <x v="0"/>
    <s v="Puce"/>
  </r>
  <r>
    <n v="161464892"/>
    <s v="Sevtap"/>
    <s v="Female"/>
    <d v="2032-08-02T00:00:00"/>
    <n v="1443"/>
    <n v="35"/>
    <n v="2.4299999999999999E-2"/>
    <n v="2.4255024255024255E-2"/>
    <x v="0"/>
    <n v="24"/>
    <n v="34632"/>
    <s v="EUR"/>
    <x v="9"/>
    <x v="0"/>
    <n v="0.2"/>
    <x v="1"/>
    <s v="Pink"/>
  </r>
  <r>
    <n v="233757768"/>
    <s v="Kemal"/>
    <s v="Male"/>
    <d v="2031-09-24T00:00:00"/>
    <n v="3013"/>
    <n v="25"/>
    <n v="8.3000000000000001E-3"/>
    <n v="8.2973780285429798E-3"/>
    <x v="0"/>
    <n v="40"/>
    <n v="120520"/>
    <s v="EUR"/>
    <x v="10"/>
    <x v="4"/>
    <n v="0.2"/>
    <x v="0"/>
    <s v="Turquoise"/>
  </r>
  <r>
    <n v="599795200"/>
    <s v="Resul"/>
    <s v="Male"/>
    <d v="2031-06-03T00:00:00"/>
    <n v="3892"/>
    <n v="50"/>
    <n v="1.2800000000000001E-2"/>
    <n v="1.2846865364850977E-2"/>
    <x v="0"/>
    <n v="40"/>
    <n v="155680"/>
    <s v="EUR"/>
    <x v="11"/>
    <x v="7"/>
    <n v="0.2"/>
    <x v="0"/>
    <s v="Green"/>
  </r>
  <r>
    <n v="967341269"/>
    <s v="Beşir"/>
    <s v="Male"/>
    <d v="2031-01-17T00:00:00"/>
    <n v="1595"/>
    <n v="47"/>
    <n v="2.9499999999999998E-2"/>
    <n v="2.9467084639498431E-2"/>
    <x v="0"/>
    <n v="46"/>
    <n v="73370"/>
    <s v="EUR"/>
    <x v="12"/>
    <x v="7"/>
    <n v="0.2"/>
    <x v="1"/>
    <s v="Maroon"/>
  </r>
  <r>
    <n v="275160764"/>
    <s v="Yusuf"/>
    <s v="Male"/>
    <d v="2030-07-03T00:00:00"/>
    <n v="3054"/>
    <n v="43"/>
    <n v="1.41E-2"/>
    <n v="1.4079895219384414E-2"/>
    <x v="0"/>
    <n v="44"/>
    <n v="134376"/>
    <s v="EUR"/>
    <x v="13"/>
    <x v="0"/>
    <n v="0.2"/>
    <x v="1"/>
    <s v="Indigo"/>
  </r>
  <r>
    <n v="837123858"/>
    <s v="Soner"/>
    <s v="Male"/>
    <d v="2032-01-12T00:00:00"/>
    <n v="3009"/>
    <n v="36"/>
    <n v="1.2E-2"/>
    <n v="1.1964107676969093E-2"/>
    <x v="0"/>
    <n v="27"/>
    <n v="81243"/>
    <s v="EUR"/>
    <x v="14"/>
    <x v="6"/>
    <n v="0.2"/>
    <x v="1"/>
    <s v="Blue"/>
  </r>
  <r>
    <n v="393637923"/>
    <s v="Ali"/>
    <s v="Male"/>
    <d v="2031-05-07T00:00:00"/>
    <n v="1935"/>
    <n v="41"/>
    <n v="2.12E-2"/>
    <n v="2.1188630490956071E-2"/>
    <x v="0"/>
    <n v="41"/>
    <n v="79335"/>
    <s v="EUR"/>
    <x v="0"/>
    <x v="9"/>
    <n v="0.2"/>
    <x v="0"/>
    <s v="Goldenrod"/>
  </r>
  <r>
    <n v="619683359"/>
    <s v="Hasan"/>
    <s v="Male"/>
    <d v="2031-04-17T00:00:00"/>
    <n v="2882"/>
    <n v="41"/>
    <n v="1.4200000000000001E-2"/>
    <n v="1.4226231783483692E-2"/>
    <x v="0"/>
    <n v="44"/>
    <n v="126808"/>
    <s v="EUR"/>
    <x v="1"/>
    <x v="9"/>
    <n v="0.2"/>
    <x v="0"/>
    <s v="Maroon"/>
  </r>
  <r>
    <n v="774999625"/>
    <s v="Hüseyin"/>
    <s v="Male"/>
    <d v="2032-09-16T00:00:00"/>
    <n v="2267"/>
    <n v="37"/>
    <n v="1.6299999999999999E-2"/>
    <n v="1.6321129245699163E-2"/>
    <x v="1"/>
    <n v="47"/>
    <n v="106549"/>
    <s v="EUR"/>
    <x v="2"/>
    <x v="4"/>
    <n v="0.2"/>
    <x v="0"/>
    <s v="Aquamarine"/>
  </r>
  <r>
    <n v="995997187"/>
    <s v="Canan"/>
    <s v="Female"/>
    <d v="2030-06-06T00:00:00"/>
    <n v="1578"/>
    <n v="10"/>
    <n v="6.3E-3"/>
    <n v="6.3371356147021544E-3"/>
    <x v="0"/>
    <n v="31"/>
    <n v="48918"/>
    <s v="EUR"/>
    <x v="3"/>
    <x v="0"/>
    <n v="0.2"/>
    <x v="1"/>
    <s v="Pink"/>
  </r>
  <r>
    <n v="957456117"/>
    <s v="Cansu"/>
    <s v="Female"/>
    <d v="2032-12-16T00:00:00"/>
    <n v="4615"/>
    <n v="48"/>
    <n v="1.04E-2"/>
    <n v="1.0400866738894909E-2"/>
    <x v="0"/>
    <n v="24"/>
    <n v="110760"/>
    <s v="EUR"/>
    <x v="4"/>
    <x v="9"/>
    <n v="0.2"/>
    <x v="0"/>
    <s v="Crimson"/>
  </r>
  <r>
    <n v="399677076"/>
    <s v="Kenan"/>
    <s v="Male"/>
    <d v="2030-04-28T00:00:00"/>
    <n v="1305"/>
    <n v="38"/>
    <n v="2.9100000000000001E-2"/>
    <n v="2.9118773946360154E-2"/>
    <x v="0"/>
    <n v="42"/>
    <n v="54810"/>
    <s v="EUR"/>
    <x v="5"/>
    <x v="10"/>
    <n v="0.2"/>
    <x v="1"/>
    <s v="Pink"/>
  </r>
  <r>
    <n v="532867589"/>
    <s v="Mirza"/>
    <s v="Male"/>
    <d v="2031-12-16T00:00:00"/>
    <n v="2633"/>
    <n v="44"/>
    <n v="1.67E-2"/>
    <n v="1.6710976072920623E-2"/>
    <x v="0"/>
    <n v="25"/>
    <n v="65825"/>
    <s v="EUR"/>
    <x v="6"/>
    <x v="0"/>
    <n v="0.2"/>
    <x v="1"/>
    <s v="Aquamarine"/>
  </r>
  <r>
    <n v="75797482"/>
    <s v="Ebrar"/>
    <s v="Female"/>
    <d v="2032-05-05T00:00:00"/>
    <n v="1140"/>
    <n v="10"/>
    <n v="8.8000000000000005E-3"/>
    <n v="8.771929824561403E-3"/>
    <x v="0"/>
    <n v="26"/>
    <n v="29640"/>
    <s v="EUR"/>
    <x v="6"/>
    <x v="0"/>
    <n v="0.2"/>
    <x v="0"/>
    <s v="Red"/>
  </r>
  <r>
    <n v="35303416"/>
    <s v="Semih"/>
    <s v="Male"/>
    <d v="2030-05-08T00:00:00"/>
    <n v="2293"/>
    <n v="23"/>
    <n v="0.01"/>
    <n v="1.003052769297863E-2"/>
    <x v="0"/>
    <n v="26"/>
    <n v="59618"/>
    <s v="EUR"/>
    <x v="7"/>
    <x v="3"/>
    <n v="0.2"/>
    <x v="1"/>
    <s v="Orange"/>
  </r>
  <r>
    <n v="672260151"/>
    <s v="Sevcan"/>
    <s v="Female"/>
    <d v="2031-10-09T00:00:00"/>
    <n v="2834"/>
    <n v="16"/>
    <n v="5.5999999999999999E-3"/>
    <n v="5.6457304163726185E-3"/>
    <x v="0"/>
    <n v="24"/>
    <n v="68016"/>
    <s v="EUR"/>
    <x v="8"/>
    <x v="4"/>
    <n v="0.2"/>
    <x v="0"/>
    <s v="Aquamarine"/>
  </r>
  <r>
    <n v="890305859"/>
    <s v="Sevtap"/>
    <s v="Female"/>
    <d v="2032-05-22T00:00:00"/>
    <n v="3603"/>
    <n v="49"/>
    <n v="1.3599999999999999E-2"/>
    <n v="1.3599777962808771E-2"/>
    <x v="1"/>
    <n v="42"/>
    <n v="151326"/>
    <s v="EUR"/>
    <x v="9"/>
    <x v="1"/>
    <n v="0.2"/>
    <x v="0"/>
    <s v="Maroon"/>
  </r>
  <r>
    <n v="138376828"/>
    <s v="Kemal"/>
    <s v="Male"/>
    <d v="2030-04-07T00:00:00"/>
    <n v="3241"/>
    <n v="38"/>
    <n v="1.17E-2"/>
    <n v="1.1724776303609998E-2"/>
    <x v="1"/>
    <n v="22"/>
    <n v="71302"/>
    <s v="EUR"/>
    <x v="10"/>
    <x v="7"/>
    <n v="0.2"/>
    <x v="0"/>
    <s v="Crimson"/>
  </r>
  <r>
    <n v="12380638"/>
    <s v="Resul"/>
    <s v="Male"/>
    <d v="2032-08-31T00:00:00"/>
    <n v="3002"/>
    <n v="38"/>
    <n v="1.2699999999999999E-2"/>
    <n v="1.2658227848101266E-2"/>
    <x v="0"/>
    <n v="37"/>
    <n v="111074"/>
    <s v="EUR"/>
    <x v="11"/>
    <x v="1"/>
    <n v="0.2"/>
    <x v="0"/>
    <s v="Puce"/>
  </r>
  <r>
    <n v="682271092"/>
    <s v="Hüseyin"/>
    <s v="Male"/>
    <d v="2031-02-02T00:00:00"/>
    <n v="3132"/>
    <n v="48"/>
    <n v="1.5299999999999999E-2"/>
    <n v="1.532567049808429E-2"/>
    <x v="0"/>
    <n v="46"/>
    <n v="144072"/>
    <s v="EUR"/>
    <x v="12"/>
    <x v="8"/>
    <n v="0.2"/>
    <x v="0"/>
    <s v="Pink"/>
  </r>
  <r>
    <n v="715890337"/>
    <s v="Canan"/>
    <s v="Female"/>
    <d v="2032-01-01T00:00:00"/>
    <n v="1728"/>
    <n v="36"/>
    <n v="2.0799999999999999E-2"/>
    <n v="2.0833333333333332E-2"/>
    <x v="0"/>
    <n v="44"/>
    <n v="76032"/>
    <s v="EUR"/>
    <x v="13"/>
    <x v="9"/>
    <n v="0.2"/>
    <x v="0"/>
    <s v="Violet"/>
  </r>
  <r>
    <n v="29433812"/>
    <s v="Cansu"/>
    <s v="Female"/>
    <d v="2032-02-06T00:00:00"/>
    <n v="4254"/>
    <n v="40"/>
    <n v="9.4000000000000004E-3"/>
    <n v="9.4029149036201215E-3"/>
    <x v="0"/>
    <n v="43"/>
    <n v="182922"/>
    <s v="EUR"/>
    <x v="14"/>
    <x v="10"/>
    <n v="0.2"/>
    <x v="1"/>
    <s v="Crimson"/>
  </r>
  <r>
    <n v="148598513"/>
    <s v="Kenan"/>
    <s v="Male"/>
    <d v="2030-12-12T00:00:00"/>
    <n v="3604"/>
    <n v="42"/>
    <n v="1.17E-2"/>
    <n v="1.1653718091009988E-2"/>
    <x v="0"/>
    <n v="41"/>
    <n v="147764"/>
    <s v="EUR"/>
    <x v="0"/>
    <x v="0"/>
    <n v="0.2"/>
    <x v="0"/>
    <s v="Purple"/>
  </r>
  <r>
    <n v="484871661"/>
    <s v="Mirza"/>
    <s v="Male"/>
    <d v="2032-08-16T00:00:00"/>
    <n v="2014"/>
    <n v="26"/>
    <n v="1.29E-2"/>
    <n v="1.2909632571996028E-2"/>
    <x v="0"/>
    <n v="49"/>
    <n v="98686"/>
    <s v="EUR"/>
    <x v="1"/>
    <x v="4"/>
    <n v="0.2"/>
    <x v="0"/>
    <s v="Yellow"/>
  </r>
  <r>
    <n v="541492597"/>
    <s v="Ebrar"/>
    <s v="Female"/>
    <d v="2031-03-15T00:00:00"/>
    <n v="4483"/>
    <n v="27"/>
    <n v="6.0000000000000001E-3"/>
    <n v="6.0227526210127145E-3"/>
    <x v="0"/>
    <n v="24"/>
    <n v="107592"/>
    <s v="EUR"/>
    <x v="2"/>
    <x v="5"/>
    <n v="0.2"/>
    <x v="0"/>
    <s v="Blue"/>
  </r>
  <r>
    <n v="724601240"/>
    <s v="Semih"/>
    <s v="Male"/>
    <d v="2031-12-16T00:00:00"/>
    <n v="2045"/>
    <n v="43"/>
    <n v="2.1000000000000001E-2"/>
    <n v="2.1026894865525673E-2"/>
    <x v="0"/>
    <n v="29"/>
    <n v="59305"/>
    <s v="EUR"/>
    <x v="3"/>
    <x v="4"/>
    <n v="0.2"/>
    <x v="1"/>
    <s v="Pink"/>
  </r>
  <r>
    <n v="611288097"/>
    <s v="Sevcan"/>
    <s v="Female"/>
    <d v="2032-03-16T00:00:00"/>
    <n v="1105"/>
    <n v="24"/>
    <n v="2.1700000000000001E-2"/>
    <n v="2.171945701357466E-2"/>
    <x v="0"/>
    <n v="35"/>
    <n v="38675"/>
    <s v="EUR"/>
    <x v="4"/>
    <x v="1"/>
    <n v="0.2"/>
    <x v="1"/>
    <s v="Maroon"/>
  </r>
  <r>
    <n v="933384298"/>
    <s v="Sevtap"/>
    <s v="Female"/>
    <d v="2031-09-09T00:00:00"/>
    <n v="3941"/>
    <n v="25"/>
    <n v="6.3E-3"/>
    <n v="6.3435676224308547E-3"/>
    <x v="0"/>
    <n v="50"/>
    <n v="197050"/>
    <s v="EUR"/>
    <x v="5"/>
    <x v="2"/>
    <n v="0.2"/>
    <x v="0"/>
    <s v="Blue"/>
  </r>
  <r>
    <n v="153521260"/>
    <s v="Kemal"/>
    <s v="Male"/>
    <d v="2031-10-04T00:00:00"/>
    <n v="2179"/>
    <n v="49"/>
    <n v="2.2499999999999999E-2"/>
    <n v="2.2487379531895366E-2"/>
    <x v="0"/>
    <n v="42"/>
    <n v="91518"/>
    <s v="EUR"/>
    <x v="6"/>
    <x v="0"/>
    <n v="0.2"/>
    <x v="1"/>
    <s v="Maroon"/>
  </r>
  <r>
    <n v="877090044"/>
    <s v="Resul"/>
    <s v="Male"/>
    <d v="2031-03-29T00:00:00"/>
    <n v="2137"/>
    <n v="49"/>
    <n v="2.29E-2"/>
    <n v="2.2929340196537203E-2"/>
    <x v="0"/>
    <n v="40"/>
    <n v="85480"/>
    <s v="EUR"/>
    <x v="6"/>
    <x v="5"/>
    <n v="0.2"/>
    <x v="1"/>
    <s v="Yellow"/>
  </r>
  <r>
    <n v="608790063"/>
    <s v="Beşir"/>
    <s v="Male"/>
    <d v="2031-02-26T00:00:00"/>
    <n v="2514"/>
    <n v="41"/>
    <n v="1.6299999999999999E-2"/>
    <n v="1.6308671439936355E-2"/>
    <x v="0"/>
    <n v="39"/>
    <n v="98046"/>
    <s v="EUR"/>
    <x v="7"/>
    <x v="7"/>
    <n v="0.2"/>
    <x v="0"/>
    <s v="Puce"/>
  </r>
  <r>
    <n v="85231847"/>
    <s v="Yusuf"/>
    <s v="Male"/>
    <d v="2031-05-20T00:00:00"/>
    <n v="4971"/>
    <n v="32"/>
    <n v="6.4000000000000003E-3"/>
    <n v="6.4373365520016095E-3"/>
    <x v="0"/>
    <n v="37"/>
    <n v="183927"/>
    <s v="EUR"/>
    <x v="8"/>
    <x v="8"/>
    <n v="0.2"/>
    <x v="1"/>
    <s v="Pink"/>
  </r>
  <r>
    <n v="754639731"/>
    <s v="Soner"/>
    <s v="Male"/>
    <d v="2031-12-03T00:00:00"/>
    <n v="3172"/>
    <n v="12"/>
    <n v="3.8E-3"/>
    <n v="3.7831021437578815E-3"/>
    <x v="0"/>
    <n v="27"/>
    <n v="85644"/>
    <s v="EUR"/>
    <x v="9"/>
    <x v="3"/>
    <n v="0.2"/>
    <x v="1"/>
    <s v="Red"/>
  </r>
  <r>
    <n v="778887914"/>
    <s v="Ali"/>
    <s v="Male"/>
    <d v="2030-11-18T00:00:00"/>
    <n v="1456"/>
    <n v="32"/>
    <n v="2.1999999999999999E-2"/>
    <n v="2.197802197802198E-2"/>
    <x v="0"/>
    <n v="23"/>
    <n v="33488"/>
    <s v="EUR"/>
    <x v="10"/>
    <x v="5"/>
    <n v="0.2"/>
    <x v="1"/>
    <s v="Red"/>
  </r>
  <r>
    <n v="903434078"/>
    <s v="Hasan"/>
    <s v="Male"/>
    <d v="2032-07-17T00:00:00"/>
    <n v="2260"/>
    <n v="28"/>
    <n v="1.24E-2"/>
    <n v="1.2389380530973451E-2"/>
    <x v="0"/>
    <n v="35"/>
    <n v="79100"/>
    <s v="EUR"/>
    <x v="11"/>
    <x v="3"/>
    <n v="0.2"/>
    <x v="1"/>
    <s v="Goldenrod"/>
  </r>
  <r>
    <n v="358337177"/>
    <s v="Hüseyin"/>
    <s v="Male"/>
    <d v="2032-06-02T00:00:00"/>
    <n v="4533"/>
    <n v="26"/>
    <n v="5.7000000000000002E-3"/>
    <n v="5.7357158614604019E-3"/>
    <x v="0"/>
    <n v="48"/>
    <n v="217584"/>
    <s v="EUR"/>
    <x v="12"/>
    <x v="8"/>
    <n v="0.2"/>
    <x v="0"/>
    <s v="Fuscia"/>
  </r>
  <r>
    <n v="805235619"/>
    <s v="Canan"/>
    <s v="Female"/>
    <d v="2030-10-07T00:00:00"/>
    <n v="4144"/>
    <n v="11"/>
    <n v="2.7000000000000001E-3"/>
    <n v="2.6544401544401543E-3"/>
    <x v="0"/>
    <n v="37"/>
    <n v="153328"/>
    <s v="EUR"/>
    <x v="13"/>
    <x v="0"/>
    <n v="0.2"/>
    <x v="0"/>
    <s v="Pink"/>
  </r>
  <r>
    <n v="744556997"/>
    <s v="Cansu"/>
    <s v="Female"/>
    <d v="2031-06-16T00:00:00"/>
    <n v="1692"/>
    <n v="19"/>
    <n v="1.12E-2"/>
    <n v="1.1229314420803783E-2"/>
    <x v="0"/>
    <n v="26"/>
    <n v="43992"/>
    <s v="EUR"/>
    <x v="14"/>
    <x v="2"/>
    <n v="0.2"/>
    <x v="0"/>
    <s v="Red"/>
  </r>
  <r>
    <n v="487196834"/>
    <s v="Kenan"/>
    <s v="Male"/>
    <d v="2030-09-19T00:00:00"/>
    <n v="3320"/>
    <n v="13"/>
    <n v="3.8999999999999998E-3"/>
    <n v="3.9156626506024099E-3"/>
    <x v="0"/>
    <n v="36"/>
    <n v="119520"/>
    <s v="EUR"/>
    <x v="0"/>
    <x v="0"/>
    <n v="0.2"/>
    <x v="0"/>
    <s v="Violet"/>
  </r>
  <r>
    <n v="856397065"/>
    <s v="Mirza"/>
    <s v="Male"/>
    <d v="2030-11-28T00:00:00"/>
    <n v="3317"/>
    <n v="31"/>
    <n v="9.2999999999999992E-3"/>
    <n v="9.3457943925233638E-3"/>
    <x v="0"/>
    <n v="27"/>
    <n v="89559"/>
    <s v="EUR"/>
    <x v="1"/>
    <x v="6"/>
    <n v="0.2"/>
    <x v="1"/>
    <s v="Indigo"/>
  </r>
  <r>
    <n v="5254101"/>
    <s v="Ebrar"/>
    <s v="Female"/>
    <d v="2030-03-13T00:00:00"/>
    <n v="1195"/>
    <n v="28"/>
    <n v="2.3400000000000001E-2"/>
    <n v="2.3430962343096235E-2"/>
    <x v="0"/>
    <n v="47"/>
    <n v="56165"/>
    <s v="EUR"/>
    <x v="2"/>
    <x v="7"/>
    <n v="0.2"/>
    <x v="1"/>
    <s v="Turquoise"/>
  </r>
  <r>
    <n v="238962431"/>
    <s v="Semih"/>
    <s v="Male"/>
    <d v="2030-01-09T00:00:00"/>
    <n v="3125"/>
    <n v="50"/>
    <n v="1.6E-2"/>
    <n v="1.6E-2"/>
    <x v="0"/>
    <n v="25"/>
    <n v="78125"/>
    <s v="EUR"/>
    <x v="3"/>
    <x v="0"/>
    <n v="0.2"/>
    <x v="0"/>
    <s v="Violet"/>
  </r>
  <r>
    <n v="965533716"/>
    <s v="Sevcan"/>
    <s v="Female"/>
    <d v="2030-09-01T00:00:00"/>
    <n v="2411"/>
    <n v="18"/>
    <n v="7.4999999999999997E-3"/>
    <n v="7.4657818332642054E-3"/>
    <x v="0"/>
    <n v="40"/>
    <n v="96440"/>
    <s v="EUR"/>
    <x v="4"/>
    <x v="2"/>
    <n v="0.2"/>
    <x v="0"/>
    <s v="Teal"/>
  </r>
  <r>
    <n v="56526469"/>
    <s v="Sevtap"/>
    <s v="Female"/>
    <d v="2031-03-22T00:00:00"/>
    <n v="4630"/>
    <n v="11"/>
    <n v="2.3999999999999998E-3"/>
    <n v="2.3758099352051837E-3"/>
    <x v="0"/>
    <n v="38"/>
    <n v="175940"/>
    <s v="EUR"/>
    <x v="5"/>
    <x v="2"/>
    <n v="0.2"/>
    <x v="1"/>
    <s v="Orange"/>
  </r>
  <r>
    <n v="884408935"/>
    <s v="Kemal"/>
    <s v="Male"/>
    <d v="2032-10-15T00:00:00"/>
    <n v="2387"/>
    <n v="24"/>
    <n v="1.01E-2"/>
    <n v="1.0054461667364893E-2"/>
    <x v="0"/>
    <n v="36"/>
    <n v="85932"/>
    <s v="EUR"/>
    <x v="6"/>
    <x v="1"/>
    <n v="0.2"/>
    <x v="0"/>
    <s v="Pink"/>
  </r>
  <r>
    <n v="859489898"/>
    <s v="Resul"/>
    <s v="Male"/>
    <d v="2032-10-30T00:00:00"/>
    <n v="2288"/>
    <n v="39"/>
    <n v="1.7000000000000001E-2"/>
    <n v="1.7045454545454544E-2"/>
    <x v="0"/>
    <n v="22"/>
    <n v="50336"/>
    <s v="EUR"/>
    <x v="6"/>
    <x v="1"/>
    <n v="0.2"/>
    <x v="1"/>
    <s v="Crimson"/>
  </r>
  <r>
    <n v="308904112"/>
    <s v="Beşir"/>
    <s v="Male"/>
    <d v="2030-09-22T00:00:00"/>
    <n v="3248"/>
    <n v="26"/>
    <n v="8.0000000000000002E-3"/>
    <n v="8.0049261083743849E-3"/>
    <x v="0"/>
    <n v="23"/>
    <n v="74704"/>
    <s v="EUR"/>
    <x v="7"/>
    <x v="9"/>
    <n v="0.2"/>
    <x v="0"/>
    <s v="Maroon"/>
  </r>
  <r>
    <n v="786884351"/>
    <s v="Yusuf"/>
    <s v="Male"/>
    <d v="2030-07-23T00:00:00"/>
    <n v="2526"/>
    <n v="37"/>
    <n v="1.46E-2"/>
    <n v="1.4647664291369754E-2"/>
    <x v="0"/>
    <n v="26"/>
    <n v="65676"/>
    <s v="EUR"/>
    <x v="8"/>
    <x v="8"/>
    <n v="0.2"/>
    <x v="1"/>
    <s v="Goldenrod"/>
  </r>
  <r>
    <n v="582018669"/>
    <s v="Soner"/>
    <s v="Male"/>
    <d v="2032-10-15T00:00:00"/>
    <n v="2046"/>
    <n v="31"/>
    <n v="1.52E-2"/>
    <n v="1.5151515151515152E-2"/>
    <x v="0"/>
    <n v="49"/>
    <n v="100254"/>
    <s v="EUR"/>
    <x v="9"/>
    <x v="8"/>
    <n v="0.2"/>
    <x v="0"/>
    <s v="Fuscia"/>
  </r>
  <r>
    <n v="50275812"/>
    <s v="Ali"/>
    <s v="Male"/>
    <d v="2032-07-23T00:00:00"/>
    <n v="4411"/>
    <n v="15"/>
    <n v="3.3999999999999998E-3"/>
    <n v="3.4005894355021537E-3"/>
    <x v="0"/>
    <n v="20"/>
    <n v="88220"/>
    <s v="EUR"/>
    <x v="10"/>
    <x v="3"/>
    <n v="0.2"/>
    <x v="1"/>
    <s v="Khaki"/>
  </r>
  <r>
    <n v="668700405"/>
    <s v="Hasan"/>
    <s v="Male"/>
    <d v="2031-08-09T00:00:00"/>
    <n v="1482"/>
    <n v="33"/>
    <n v="2.23E-2"/>
    <n v="2.2267206477732792E-2"/>
    <x v="0"/>
    <n v="49"/>
    <n v="72618"/>
    <s v="EUR"/>
    <x v="11"/>
    <x v="7"/>
    <n v="0.2"/>
    <x v="0"/>
    <s v="Fuscia"/>
  </r>
  <r>
    <n v="357955912"/>
    <s v="Hüseyin"/>
    <s v="Male"/>
    <d v="2032-09-09T00:00:00"/>
    <n v="1647"/>
    <n v="28"/>
    <n v="1.7000000000000001E-2"/>
    <n v="1.700060716454159E-2"/>
    <x v="0"/>
    <n v="48"/>
    <n v="79056"/>
    <s v="EUR"/>
    <x v="12"/>
    <x v="0"/>
    <n v="0.2"/>
    <x v="0"/>
    <s v="Aquamarine"/>
  </r>
  <r>
    <n v="612468039"/>
    <s v="Canan"/>
    <s v="Female"/>
    <d v="2030-05-15T00:00:00"/>
    <n v="1798"/>
    <n v="18"/>
    <n v="0.01"/>
    <n v="1.0011123470522803E-2"/>
    <x v="0"/>
    <n v="31"/>
    <n v="55738"/>
    <s v="EUR"/>
    <x v="13"/>
    <x v="1"/>
    <n v="0.2"/>
    <x v="0"/>
    <s v="Yellow"/>
  </r>
  <r>
    <n v="341351921"/>
    <s v="Cansu"/>
    <s v="Female"/>
    <d v="2030-03-31T00:00:00"/>
    <n v="1432"/>
    <n v="26"/>
    <n v="1.8200000000000001E-2"/>
    <n v="1.8156424581005588E-2"/>
    <x v="0"/>
    <n v="21"/>
    <n v="30072"/>
    <s v="EUR"/>
    <x v="14"/>
    <x v="10"/>
    <n v="0.2"/>
    <x v="1"/>
    <s v="Turquoise"/>
  </r>
  <r>
    <n v="922536509"/>
    <s v="Kenan"/>
    <s v="Male"/>
    <d v="2031-08-05T00:00:00"/>
    <n v="3264"/>
    <n v="19"/>
    <n v="5.7999999999999996E-3"/>
    <n v="5.8210784313725492E-3"/>
    <x v="0"/>
    <n v="33"/>
    <n v="107712"/>
    <s v="EUR"/>
    <x v="0"/>
    <x v="10"/>
    <n v="0.2"/>
    <x v="0"/>
    <s v="Teal"/>
  </r>
  <r>
    <n v="159350700"/>
    <s v="Mirza"/>
    <s v="Male"/>
    <d v="2030-08-07T00:00:00"/>
    <n v="4984"/>
    <n v="46"/>
    <n v="9.1999999999999998E-3"/>
    <n v="9.2295345104333876E-3"/>
    <x v="0"/>
    <n v="30"/>
    <n v="149520"/>
    <s v="EUR"/>
    <x v="1"/>
    <x v="9"/>
    <n v="0.2"/>
    <x v="1"/>
    <s v="Indigo"/>
  </r>
  <r>
    <n v="951368012"/>
    <s v="Ebrar"/>
    <s v="Female"/>
    <d v="2030-02-02T00:00:00"/>
    <n v="4801"/>
    <n v="43"/>
    <n v="8.9999999999999993E-3"/>
    <n v="8.9564674026244538E-3"/>
    <x v="1"/>
    <n v="40"/>
    <n v="192040"/>
    <s v="EUR"/>
    <x v="2"/>
    <x v="0"/>
    <n v="0.2"/>
    <x v="1"/>
    <s v="Fuscia"/>
  </r>
  <r>
    <n v="994151866"/>
    <s v="Semih"/>
    <s v="Male"/>
    <d v="2031-01-14T00:00:00"/>
    <n v="3322"/>
    <n v="22"/>
    <n v="6.6E-3"/>
    <n v="6.6225165562913907E-3"/>
    <x v="1"/>
    <n v="41"/>
    <n v="136202"/>
    <s v="EUR"/>
    <x v="3"/>
    <x v="0"/>
    <n v="0.2"/>
    <x v="1"/>
    <s v="Maroon"/>
  </r>
  <r>
    <n v="227315267"/>
    <s v="Sevcan"/>
    <s v="Female"/>
    <d v="2031-11-22T00:00:00"/>
    <n v="3842"/>
    <n v="36"/>
    <n v="9.4000000000000004E-3"/>
    <n v="9.3701197293076521E-3"/>
    <x v="0"/>
    <n v="23"/>
    <n v="88366"/>
    <s v="EUR"/>
    <x v="4"/>
    <x v="5"/>
    <n v="0.2"/>
    <x v="1"/>
    <s v="Pink"/>
  </r>
  <r>
    <n v="951507426"/>
    <s v="Sevtap"/>
    <s v="Female"/>
    <d v="2032-01-03T00:00:00"/>
    <n v="1037"/>
    <n v="13"/>
    <n v="1.2500000000000001E-2"/>
    <n v="1.253616200578592E-2"/>
    <x v="0"/>
    <n v="30"/>
    <n v="31110"/>
    <s v="EUR"/>
    <x v="5"/>
    <x v="9"/>
    <n v="0.2"/>
    <x v="0"/>
    <s v="Violet"/>
  </r>
  <r>
    <n v="837952620"/>
    <s v="Kemal"/>
    <s v="Male"/>
    <d v="2031-02-02T00:00:00"/>
    <n v="4521"/>
    <n v="40"/>
    <n v="8.8000000000000005E-3"/>
    <n v="8.8476000884760014E-3"/>
    <x v="0"/>
    <n v="46"/>
    <n v="207966"/>
    <s v="EUR"/>
    <x v="6"/>
    <x v="3"/>
    <n v="0.2"/>
    <x v="0"/>
    <s v="Purple"/>
  </r>
  <r>
    <n v="806365175"/>
    <s v="Resul"/>
    <s v="Male"/>
    <d v="2032-05-26T00:00:00"/>
    <n v="4520"/>
    <n v="18"/>
    <n v="4.0000000000000001E-3"/>
    <n v="3.9823008849557522E-3"/>
    <x v="0"/>
    <n v="29"/>
    <n v="131080"/>
    <s v="EUR"/>
    <x v="6"/>
    <x v="4"/>
    <n v="0.2"/>
    <x v="1"/>
    <s v="Maroon"/>
  </r>
  <r>
    <n v="678325819"/>
    <s v="Hüseyin"/>
    <s v="Male"/>
    <d v="2031-01-09T00:00:00"/>
    <n v="1687"/>
    <n v="43"/>
    <n v="2.5499999999999998E-2"/>
    <n v="2.5489033787788974E-2"/>
    <x v="0"/>
    <n v="33"/>
    <n v="55671"/>
    <s v="EUR"/>
    <x v="7"/>
    <x v="4"/>
    <n v="0.2"/>
    <x v="1"/>
    <s v="Green"/>
  </r>
  <r>
    <n v="387648927"/>
    <s v="Canan"/>
    <s v="Female"/>
    <d v="2030-07-16T00:00:00"/>
    <n v="3907"/>
    <n v="36"/>
    <n v="9.1999999999999998E-3"/>
    <n v="9.2142308676734074E-3"/>
    <x v="0"/>
    <n v="47"/>
    <n v="183629"/>
    <s v="EUR"/>
    <x v="8"/>
    <x v="0"/>
    <n v="0.2"/>
    <x v="0"/>
    <s v="Puce"/>
  </r>
  <r>
    <n v="409639775"/>
    <s v="Cansu"/>
    <s v="Female"/>
    <d v="2031-03-21T00:00:00"/>
    <n v="1013"/>
    <n v="45"/>
    <n v="4.4400000000000002E-2"/>
    <n v="4.4422507403751234E-2"/>
    <x v="0"/>
    <n v="42"/>
    <n v="42546"/>
    <s v="EUR"/>
    <x v="9"/>
    <x v="10"/>
    <n v="0.2"/>
    <x v="0"/>
    <s v="Yellow"/>
  </r>
  <r>
    <n v="937208840"/>
    <s v="Kenan"/>
    <s v="Male"/>
    <d v="2031-11-03T00:00:00"/>
    <n v="2759"/>
    <n v="36"/>
    <n v="1.2999999999999999E-2"/>
    <n v="1.3048205871692642E-2"/>
    <x v="0"/>
    <n v="29"/>
    <n v="80011"/>
    <s v="EUR"/>
    <x v="10"/>
    <x v="8"/>
    <n v="0.2"/>
    <x v="1"/>
    <s v="Teal"/>
  </r>
  <r>
    <n v="256624467"/>
    <s v="Mirza"/>
    <s v="Male"/>
    <d v="2032-02-14T00:00:00"/>
    <n v="1065"/>
    <n v="44"/>
    <n v="4.1300000000000003E-2"/>
    <n v="4.1314553990610327E-2"/>
    <x v="0"/>
    <n v="36"/>
    <n v="38340"/>
    <s v="EUR"/>
    <x v="11"/>
    <x v="5"/>
    <n v="0.2"/>
    <x v="0"/>
    <s v="Teal"/>
  </r>
  <r>
    <n v="523128234"/>
    <s v="Ebrar"/>
    <s v="Female"/>
    <d v="2031-09-08T00:00:00"/>
    <n v="2701"/>
    <n v="10"/>
    <n v="3.7000000000000002E-3"/>
    <n v="3.7023324694557573E-3"/>
    <x v="0"/>
    <n v="24"/>
    <n v="64824"/>
    <s v="EUR"/>
    <x v="12"/>
    <x v="10"/>
    <n v="0.2"/>
    <x v="1"/>
    <s v="Pink"/>
  </r>
  <r>
    <n v="973627291"/>
    <s v="Semih"/>
    <s v="Male"/>
    <d v="2032-09-06T00:00:00"/>
    <n v="1871"/>
    <n v="42"/>
    <n v="2.24E-2"/>
    <n v="2.2447888829502941E-2"/>
    <x v="0"/>
    <n v="26"/>
    <n v="48646"/>
    <s v="EUR"/>
    <x v="13"/>
    <x v="2"/>
    <n v="0.2"/>
    <x v="0"/>
    <s v="Pink"/>
  </r>
  <r>
    <n v="414676374"/>
    <s v="Sevcan"/>
    <s v="Female"/>
    <d v="2032-02-21T00:00:00"/>
    <n v="4292"/>
    <n v="18"/>
    <n v="4.1999999999999997E-3"/>
    <n v="4.1938490214352281E-3"/>
    <x v="0"/>
    <n v="36"/>
    <n v="154512"/>
    <s v="EUR"/>
    <x v="14"/>
    <x v="10"/>
    <n v="0.2"/>
    <x v="0"/>
    <s v="Aquamarine"/>
  </r>
  <r>
    <n v="792896553"/>
    <s v="Sevtap"/>
    <s v="Female"/>
    <d v="2032-05-10T00:00:00"/>
    <n v="3047"/>
    <n v="24"/>
    <n v="7.9000000000000008E-3"/>
    <n v="7.8765999343616677E-3"/>
    <x v="0"/>
    <n v="41"/>
    <n v="124927"/>
    <s v="EUR"/>
    <x v="0"/>
    <x v="1"/>
    <n v="0.2"/>
    <x v="1"/>
    <s v="Mauv"/>
  </r>
  <r>
    <n v="986892627"/>
    <s v="Kemal"/>
    <s v="Male"/>
    <d v="2031-07-24T00:00:00"/>
    <n v="1687"/>
    <n v="20"/>
    <n v="1.1900000000000001E-2"/>
    <n v="1.1855364552459988E-2"/>
    <x v="0"/>
    <n v="28"/>
    <n v="47236"/>
    <s v="EUR"/>
    <x v="1"/>
    <x v="3"/>
    <n v="0.2"/>
    <x v="1"/>
    <s v="Mauv"/>
  </r>
  <r>
    <n v="904196464"/>
    <s v="Resul"/>
    <s v="Male"/>
    <d v="2032-03-24T00:00:00"/>
    <n v="2635"/>
    <n v="29"/>
    <n v="1.0999999999999999E-2"/>
    <n v="1.1005692599620493E-2"/>
    <x v="0"/>
    <n v="35"/>
    <n v="92225"/>
    <s v="EUR"/>
    <x v="2"/>
    <x v="5"/>
    <n v="0.2"/>
    <x v="0"/>
    <s v="Blue"/>
  </r>
  <r>
    <n v="920826362"/>
    <s v="Beşir"/>
    <s v="Male"/>
    <d v="2030-11-28T00:00:00"/>
    <n v="2299"/>
    <n v="20"/>
    <n v="8.6999999999999994E-3"/>
    <n v="8.6994345367551115E-3"/>
    <x v="0"/>
    <n v="37"/>
    <n v="85063"/>
    <s v="EUR"/>
    <x v="3"/>
    <x v="1"/>
    <n v="0.2"/>
    <x v="0"/>
    <s v="Mauv"/>
  </r>
  <r>
    <n v="33427584"/>
    <s v="Yusuf"/>
    <s v="Male"/>
    <d v="2032-04-04T00:00:00"/>
    <n v="4528"/>
    <n v="46"/>
    <n v="1.0200000000000001E-2"/>
    <n v="1.0159010600706713E-2"/>
    <x v="0"/>
    <n v="41"/>
    <n v="185648"/>
    <s v="EUR"/>
    <x v="4"/>
    <x v="10"/>
    <n v="0.2"/>
    <x v="1"/>
    <s v="Pink"/>
  </r>
  <r>
    <n v="54534382"/>
    <s v="Soner"/>
    <s v="Male"/>
    <d v="2030-04-26T00:00:00"/>
    <n v="2365"/>
    <n v="25"/>
    <n v="1.06E-2"/>
    <n v="1.0570824524312896E-2"/>
    <x v="0"/>
    <n v="34"/>
    <n v="80410"/>
    <s v="EUR"/>
    <x v="5"/>
    <x v="3"/>
    <n v="0.2"/>
    <x v="1"/>
    <s v="Khaki"/>
  </r>
  <r>
    <n v="153539830"/>
    <s v="Ali"/>
    <s v="Male"/>
    <d v="2031-07-12T00:00:00"/>
    <n v="3919"/>
    <n v="46"/>
    <n v="1.17E-2"/>
    <n v="1.1737688185761675E-2"/>
    <x v="1"/>
    <n v="43"/>
    <n v="168517"/>
    <s v="EUR"/>
    <x v="6"/>
    <x v="9"/>
    <n v="0.2"/>
    <x v="0"/>
    <s v="Goldenrod"/>
  </r>
  <r>
    <n v="513141817"/>
    <s v="Hasan"/>
    <s v="Male"/>
    <d v="2030-02-19T00:00:00"/>
    <n v="4250"/>
    <n v="24"/>
    <n v="5.5999999999999999E-3"/>
    <n v="5.6470588235294121E-3"/>
    <x v="2"/>
    <n v="39"/>
    <n v="165750"/>
    <s v="EUR"/>
    <x v="6"/>
    <x v="3"/>
    <n v="0.2"/>
    <x v="0"/>
    <s v="Red"/>
  </r>
  <r>
    <n v="958515770"/>
    <s v="Hüseyin"/>
    <s v="Male"/>
    <d v="2030-06-22T00:00:00"/>
    <n v="3962"/>
    <n v="15"/>
    <n v="3.8E-3"/>
    <n v="3.7859666834931852E-3"/>
    <x v="0"/>
    <n v="49"/>
    <n v="194138"/>
    <s v="EUR"/>
    <x v="7"/>
    <x v="7"/>
    <n v="0.2"/>
    <x v="0"/>
    <s v="Yellow"/>
  </r>
  <r>
    <n v="899388065"/>
    <s v="Canan"/>
    <s v="Female"/>
    <d v="2032-01-01T00:00:00"/>
    <n v="3393"/>
    <n v="31"/>
    <n v="9.1000000000000004E-3"/>
    <n v="9.1364574123194812E-3"/>
    <x v="0"/>
    <n v="47"/>
    <n v="159471"/>
    <s v="EUR"/>
    <x v="8"/>
    <x v="1"/>
    <n v="0.2"/>
    <x v="0"/>
    <s v="Turquoise"/>
  </r>
  <r>
    <n v="634814089"/>
    <s v="Cansu"/>
    <s v="Female"/>
    <d v="2031-08-26T00:00:00"/>
    <n v="3144"/>
    <n v="28"/>
    <n v="8.8999999999999999E-3"/>
    <n v="8.9058524173027988E-3"/>
    <x v="1"/>
    <n v="39"/>
    <n v="122616"/>
    <s v="EUR"/>
    <x v="9"/>
    <x v="8"/>
    <n v="0.2"/>
    <x v="1"/>
    <s v="Teal"/>
  </r>
  <r>
    <n v="653046066"/>
    <s v="Kenan"/>
    <s v="Male"/>
    <d v="2031-11-05T00:00:00"/>
    <n v="3169"/>
    <n v="48"/>
    <n v="1.5100000000000001E-2"/>
    <n v="1.5146733985484381E-2"/>
    <x v="0"/>
    <n v="49"/>
    <n v="155281"/>
    <s v="EUR"/>
    <x v="10"/>
    <x v="7"/>
    <n v="0.2"/>
    <x v="0"/>
    <s v="Goldenrod"/>
  </r>
  <r>
    <n v="13988356"/>
    <s v="Mirza"/>
    <s v="Male"/>
    <d v="2032-10-23T00:00:00"/>
    <n v="2680"/>
    <n v="43"/>
    <n v="1.6E-2"/>
    <n v="1.6044776119402984E-2"/>
    <x v="0"/>
    <n v="49"/>
    <n v="131320"/>
    <s v="EUR"/>
    <x v="11"/>
    <x v="1"/>
    <n v="0.2"/>
    <x v="1"/>
    <s v="Red"/>
  </r>
  <r>
    <n v="491883478"/>
    <s v="Ebrar"/>
    <s v="Female"/>
    <d v="2030-09-28T00:00:00"/>
    <n v="4442"/>
    <n v="45"/>
    <n v="1.01E-2"/>
    <n v="1.0130571814497974E-2"/>
    <x v="1"/>
    <n v="47"/>
    <n v="208774"/>
    <s v="EUR"/>
    <x v="12"/>
    <x v="6"/>
    <n v="0.2"/>
    <x v="0"/>
    <s v="Blue"/>
  </r>
  <r>
    <n v="302573945"/>
    <s v="Semih"/>
    <s v="Male"/>
    <d v="2032-01-21T00:00:00"/>
    <n v="2337"/>
    <n v="18"/>
    <n v="7.7000000000000002E-3"/>
    <n v="7.7021822849807449E-3"/>
    <x v="0"/>
    <n v="25"/>
    <n v="58425"/>
    <s v="EUR"/>
    <x v="13"/>
    <x v="7"/>
    <n v="0.2"/>
    <x v="0"/>
    <s v="Maroon"/>
  </r>
  <r>
    <n v="222851619"/>
    <s v="Sevcan"/>
    <s v="Female"/>
    <d v="2032-02-24T00:00:00"/>
    <n v="3201"/>
    <n v="16"/>
    <n v="5.0000000000000001E-3"/>
    <n v="4.9984379881287096E-3"/>
    <x v="0"/>
    <n v="42"/>
    <n v="134442"/>
    <s v="EUR"/>
    <x v="14"/>
    <x v="7"/>
    <n v="0.2"/>
    <x v="1"/>
    <s v="Turquoise"/>
  </r>
  <r>
    <n v="653849314"/>
    <s v="Sevtap"/>
    <s v="Female"/>
    <d v="2030-08-20T00:00:00"/>
    <n v="1631"/>
    <n v="19"/>
    <n v="1.1599999999999999E-2"/>
    <n v="1.1649294911097487E-2"/>
    <x v="0"/>
    <n v="30"/>
    <n v="48930"/>
    <s v="EUR"/>
    <x v="0"/>
    <x v="5"/>
    <n v="0.2"/>
    <x v="0"/>
    <s v="Pink"/>
  </r>
  <r>
    <n v="467315940"/>
    <s v="Kemal"/>
    <s v="Male"/>
    <d v="2031-09-05T00:00:00"/>
    <n v="3167"/>
    <n v="38"/>
    <n v="1.2E-2"/>
    <n v="1.1998736975055258E-2"/>
    <x v="0"/>
    <n v="41"/>
    <n v="129847"/>
    <s v="EUR"/>
    <x v="1"/>
    <x v="6"/>
    <n v="0.2"/>
    <x v="0"/>
    <s v="Fuscia"/>
  </r>
  <r>
    <n v="86558851"/>
    <s v="Resul"/>
    <s v="Male"/>
    <d v="2032-06-13T00:00:00"/>
    <n v="3353"/>
    <n v="36"/>
    <n v="1.0699999999999999E-2"/>
    <n v="1.0736653742916791E-2"/>
    <x v="0"/>
    <n v="36"/>
    <n v="120708"/>
    <s v="EUR"/>
    <x v="2"/>
    <x v="8"/>
    <n v="0.2"/>
    <x v="1"/>
    <s v="Aquamarine"/>
  </r>
  <r>
    <n v="647793679"/>
    <s v="Beşir"/>
    <s v="Male"/>
    <d v="2030-02-26T00:00:00"/>
    <n v="3525"/>
    <n v="11"/>
    <n v="3.0999999999999999E-3"/>
    <n v="3.1205673758865249E-3"/>
    <x v="0"/>
    <n v="30"/>
    <n v="105750"/>
    <s v="EUR"/>
    <x v="3"/>
    <x v="2"/>
    <n v="0.2"/>
    <x v="0"/>
    <s v="Fuscia"/>
  </r>
  <r>
    <n v="806350469"/>
    <s v="Yusuf"/>
    <s v="Male"/>
    <d v="2031-02-22T00:00:00"/>
    <n v="1708"/>
    <n v="31"/>
    <n v="1.8100000000000002E-2"/>
    <n v="1.8149882903981264E-2"/>
    <x v="0"/>
    <n v="39"/>
    <n v="66612"/>
    <s v="EUR"/>
    <x v="4"/>
    <x v="1"/>
    <n v="0.2"/>
    <x v="0"/>
    <s v="Aquamarine"/>
  </r>
  <r>
    <n v="661858154"/>
    <s v="Soner"/>
    <s v="Male"/>
    <d v="2031-10-20T00:00:00"/>
    <n v="1084"/>
    <n v="45"/>
    <n v="4.1500000000000002E-2"/>
    <n v="4.1512915129151291E-2"/>
    <x v="0"/>
    <n v="23"/>
    <n v="24932"/>
    <s v="EUR"/>
    <x v="5"/>
    <x v="4"/>
    <n v="0.2"/>
    <x v="1"/>
    <s v="Puce"/>
  </r>
  <r>
    <n v="90782674"/>
    <s v="Ali"/>
    <s v="Male"/>
    <d v="2032-04-18T00:00:00"/>
    <n v="1168"/>
    <n v="23"/>
    <n v="1.9699999999999999E-2"/>
    <n v="1.9691780821917807E-2"/>
    <x v="0"/>
    <n v="26"/>
    <n v="30368"/>
    <s v="EUR"/>
    <x v="6"/>
    <x v="6"/>
    <n v="0.2"/>
    <x v="1"/>
    <s v="Violet"/>
  </r>
  <r>
    <n v="288492273"/>
    <s v="Hasan"/>
    <s v="Male"/>
    <d v="2032-02-08T00:00:00"/>
    <n v="3273"/>
    <n v="19"/>
    <n v="5.7999999999999996E-3"/>
    <n v="5.8050717995722576E-3"/>
    <x v="0"/>
    <n v="22"/>
    <n v="72006"/>
    <s v="EUR"/>
    <x v="6"/>
    <x v="9"/>
    <n v="0.2"/>
    <x v="1"/>
    <s v="Khaki"/>
  </r>
  <r>
    <n v="136800186"/>
    <s v="Hüseyin"/>
    <s v="Male"/>
    <d v="2030-07-30T00:00:00"/>
    <n v="1491"/>
    <n v="10"/>
    <n v="6.7000000000000002E-3"/>
    <n v="6.7069081153588199E-3"/>
    <x v="0"/>
    <n v="23"/>
    <n v="34293"/>
    <s v="EUR"/>
    <x v="7"/>
    <x v="0"/>
    <n v="0.2"/>
    <x v="1"/>
    <s v="Pink"/>
  </r>
  <r>
    <n v="351091524"/>
    <s v="Canan"/>
    <s v="Female"/>
    <d v="2031-07-23T00:00:00"/>
    <n v="2437"/>
    <n v="25"/>
    <n v="1.03E-2"/>
    <n v="1.0258514567090685E-2"/>
    <x v="1"/>
    <n v="33"/>
    <n v="80421"/>
    <s v="EUR"/>
    <x v="8"/>
    <x v="4"/>
    <n v="0.2"/>
    <x v="0"/>
    <s v="Fuscia"/>
  </r>
  <r>
    <n v="454943575"/>
    <s v="Cansu"/>
    <s v="Female"/>
    <d v="2030-09-19T00:00:00"/>
    <n v="2240"/>
    <n v="32"/>
    <n v="1.43E-2"/>
    <n v="1.4285714285714285E-2"/>
    <x v="0"/>
    <n v="45"/>
    <n v="100800"/>
    <s v="EUR"/>
    <x v="9"/>
    <x v="7"/>
    <n v="0.2"/>
    <x v="0"/>
    <s v="Crimson"/>
  </r>
  <r>
    <n v="617849231"/>
    <s v="Kenan"/>
    <s v="Male"/>
    <d v="2030-12-19T00:00:00"/>
    <n v="4576"/>
    <n v="11"/>
    <n v="2.3999999999999998E-3"/>
    <n v="2.403846153846154E-3"/>
    <x v="0"/>
    <n v="36"/>
    <n v="164736"/>
    <s v="EUR"/>
    <x v="10"/>
    <x v="2"/>
    <n v="0.2"/>
    <x v="1"/>
    <s v="Indigo"/>
  </r>
  <r>
    <n v="821116751"/>
    <s v="Mirza"/>
    <s v="Male"/>
    <d v="2031-09-04T00:00:00"/>
    <n v="3047"/>
    <n v="46"/>
    <n v="1.5100000000000001E-2"/>
    <n v="1.5096816540859863E-2"/>
    <x v="0"/>
    <n v="50"/>
    <n v="152350"/>
    <s v="EUR"/>
    <x v="11"/>
    <x v="8"/>
    <n v="0.2"/>
    <x v="1"/>
    <s v="Aquamarine"/>
  </r>
  <r>
    <n v="33303852"/>
    <s v="Ebrar"/>
    <s v="Female"/>
    <d v="2031-09-12T00:00:00"/>
    <n v="2757"/>
    <n v="37"/>
    <n v="1.34E-2"/>
    <n v="1.3420384475879579E-2"/>
    <x v="0"/>
    <n v="26"/>
    <n v="71682"/>
    <s v="EUR"/>
    <x v="12"/>
    <x v="0"/>
    <n v="0.2"/>
    <x v="1"/>
    <s v="Crimson"/>
  </r>
  <r>
    <n v="488819718"/>
    <s v="Semih"/>
    <s v="Male"/>
    <d v="2032-02-08T00:00:00"/>
    <n v="4215"/>
    <n v="45"/>
    <n v="1.0699999999999999E-2"/>
    <n v="1.0676156583629894E-2"/>
    <x v="0"/>
    <n v="41"/>
    <n v="172815"/>
    <s v="EUR"/>
    <x v="13"/>
    <x v="5"/>
    <n v="0.2"/>
    <x v="1"/>
    <s v="Turquoise"/>
  </r>
  <r>
    <n v="37640480"/>
    <s v="Sevcan"/>
    <s v="Female"/>
    <d v="2030-06-24T00:00:00"/>
    <n v="4447"/>
    <n v="25"/>
    <n v="5.5999999999999999E-3"/>
    <n v="5.621767483696874E-3"/>
    <x v="0"/>
    <n v="27"/>
    <n v="120069"/>
    <s v="EUR"/>
    <x v="14"/>
    <x v="2"/>
    <n v="0.2"/>
    <x v="0"/>
    <s v="Mauv"/>
  </r>
  <r>
    <n v="598434825"/>
    <s v="Sevtap"/>
    <s v="Female"/>
    <d v="2031-12-08T00:00:00"/>
    <n v="4912"/>
    <n v="14"/>
    <n v="2.8999999999999998E-3"/>
    <n v="2.8501628664495114E-3"/>
    <x v="0"/>
    <n v="38"/>
    <n v="186656"/>
    <s v="EUR"/>
    <x v="0"/>
    <x v="10"/>
    <n v="0.2"/>
    <x v="0"/>
    <s v="Indigo"/>
  </r>
  <r>
    <n v="964424187"/>
    <s v="Kemal"/>
    <s v="Male"/>
    <d v="2031-12-11T00:00:00"/>
    <n v="3440"/>
    <n v="19"/>
    <n v="5.4999999999999997E-3"/>
    <n v="5.5232558139534883E-3"/>
    <x v="0"/>
    <n v="43"/>
    <n v="147920"/>
    <s v="EUR"/>
    <x v="1"/>
    <x v="2"/>
    <n v="0.2"/>
    <x v="0"/>
    <s v="Aquamarine"/>
  </r>
  <r>
    <n v="375899569"/>
    <s v="Resul"/>
    <s v="Male"/>
    <d v="2031-09-13T00:00:00"/>
    <n v="1708"/>
    <n v="42"/>
    <n v="2.46E-2"/>
    <n v="2.4590163934426229E-2"/>
    <x v="0"/>
    <n v="31"/>
    <n v="52948"/>
    <s v="EUR"/>
    <x v="2"/>
    <x v="4"/>
    <n v="0.2"/>
    <x v="0"/>
    <s v="Fuscia"/>
  </r>
  <r>
    <n v="222709871"/>
    <s v="Hüseyin"/>
    <s v="Male"/>
    <d v="2032-09-16T00:00:00"/>
    <n v="1353"/>
    <n v="22"/>
    <n v="1.6299999999999999E-2"/>
    <n v="1.6260162601626018E-2"/>
    <x v="0"/>
    <n v="45"/>
    <n v="60885"/>
    <s v="EUR"/>
    <x v="3"/>
    <x v="0"/>
    <n v="0.2"/>
    <x v="1"/>
    <s v="Goldenrod"/>
  </r>
  <r>
    <n v="854738723"/>
    <s v="Canan"/>
    <s v="Female"/>
    <d v="2030-08-26T00:00:00"/>
    <n v="3936"/>
    <n v="25"/>
    <n v="6.4000000000000003E-3"/>
    <n v="6.3516260162601625E-3"/>
    <x v="0"/>
    <n v="42"/>
    <n v="165312"/>
    <s v="EUR"/>
    <x v="4"/>
    <x v="0"/>
    <n v="0.2"/>
    <x v="0"/>
    <s v="Blue"/>
  </r>
  <r>
    <n v="904387163"/>
    <s v="Cansu"/>
    <s v="Female"/>
    <d v="2032-11-27T00:00:00"/>
    <n v="4631"/>
    <n v="38"/>
    <n v="8.2000000000000007E-3"/>
    <n v="8.2055711509393219E-3"/>
    <x v="1"/>
    <n v="36"/>
    <n v="166716"/>
    <s v="EUR"/>
    <x v="5"/>
    <x v="7"/>
    <n v="0.2"/>
    <x v="0"/>
    <s v="Orange"/>
  </r>
  <r>
    <n v="224061762"/>
    <s v="Kenan"/>
    <s v="Male"/>
    <d v="2030-06-05T00:00:00"/>
    <n v="2991"/>
    <n v="36"/>
    <n v="1.2E-2"/>
    <n v="1.2036108324974924E-2"/>
    <x v="0"/>
    <n v="38"/>
    <n v="113658"/>
    <s v="EUR"/>
    <x v="6"/>
    <x v="6"/>
    <n v="0.2"/>
    <x v="1"/>
    <s v="Yellow"/>
  </r>
  <r>
    <n v="896791277"/>
    <s v="Mirza"/>
    <s v="Male"/>
    <d v="2032-03-21T00:00:00"/>
    <n v="2489"/>
    <n v="45"/>
    <n v="1.8100000000000002E-2"/>
    <n v="1.8079550020088389E-2"/>
    <x v="0"/>
    <n v="29"/>
    <n v="72181"/>
    <s v="EUR"/>
    <x v="6"/>
    <x v="5"/>
    <n v="0.2"/>
    <x v="1"/>
    <s v="Khaki"/>
  </r>
  <r>
    <n v="958001141"/>
    <s v="Ebrar"/>
    <s v="Female"/>
    <d v="2030-08-03T00:00:00"/>
    <n v="1459"/>
    <n v="35"/>
    <n v="2.4E-2"/>
    <n v="2.3989033584647018E-2"/>
    <x v="0"/>
    <n v="38"/>
    <n v="55442"/>
    <s v="EUR"/>
    <x v="7"/>
    <x v="10"/>
    <n v="0.2"/>
    <x v="0"/>
    <s v="Khaki"/>
  </r>
  <r>
    <n v="799748866"/>
    <s v="Semih"/>
    <s v="Male"/>
    <d v="2031-01-07T00:00:00"/>
    <n v="2156"/>
    <n v="16"/>
    <n v="7.4000000000000003E-3"/>
    <n v="7.4211502782931356E-3"/>
    <x v="0"/>
    <n v="23"/>
    <n v="49588"/>
    <s v="EUR"/>
    <x v="8"/>
    <x v="10"/>
    <n v="0.2"/>
    <x v="1"/>
    <s v="Fuscia"/>
  </r>
  <r>
    <n v="413415766"/>
    <s v="Sevcan"/>
    <s v="Female"/>
    <d v="2031-01-13T00:00:00"/>
    <n v="2476"/>
    <n v="43"/>
    <n v="1.7399999999999999E-2"/>
    <n v="1.7366720516962843E-2"/>
    <x v="0"/>
    <n v="50"/>
    <n v="123800"/>
    <s v="EUR"/>
    <x v="9"/>
    <x v="4"/>
    <n v="0.2"/>
    <x v="1"/>
    <s v="Yellow"/>
  </r>
  <r>
    <n v="208240097"/>
    <s v="Sevtap"/>
    <s v="Female"/>
    <d v="2031-03-21T00:00:00"/>
    <n v="3489"/>
    <n v="40"/>
    <n v="1.15E-2"/>
    <n v="1.1464603038119804E-2"/>
    <x v="0"/>
    <n v="45"/>
    <n v="157005"/>
    <s v="EUR"/>
    <x v="10"/>
    <x v="0"/>
    <n v="0.2"/>
    <x v="0"/>
    <s v="Teal"/>
  </r>
  <r>
    <n v="507549842"/>
    <s v="Kemal"/>
    <s v="Male"/>
    <d v="2032-05-16T00:00:00"/>
    <n v="2896"/>
    <n v="30"/>
    <n v="1.04E-2"/>
    <n v="1.0359116022099447E-2"/>
    <x v="0"/>
    <n v="27"/>
    <n v="78192"/>
    <s v="EUR"/>
    <x v="11"/>
    <x v="6"/>
    <n v="0.2"/>
    <x v="1"/>
    <s v="Blue"/>
  </r>
  <r>
    <n v="244625643"/>
    <s v="Resul"/>
    <s v="Male"/>
    <d v="2031-01-12T00:00:00"/>
    <n v="4369"/>
    <n v="10"/>
    <n v="2.3E-3"/>
    <n v="2.2888532845044634E-3"/>
    <x v="0"/>
    <n v="43"/>
    <n v="187867"/>
    <s v="EUR"/>
    <x v="12"/>
    <x v="6"/>
    <n v="0.2"/>
    <x v="1"/>
    <s v="Crimson"/>
  </r>
  <r>
    <n v="666417313"/>
    <s v="Beşir"/>
    <s v="Male"/>
    <d v="2031-07-19T00:00:00"/>
    <n v="3899"/>
    <n v="16"/>
    <n v="4.1000000000000003E-3"/>
    <n v="4.1036163118748394E-3"/>
    <x v="0"/>
    <n v="28"/>
    <n v="109172"/>
    <s v="EUR"/>
    <x v="13"/>
    <x v="1"/>
    <n v="0.2"/>
    <x v="0"/>
    <s v="Turquoise"/>
  </r>
  <r>
    <n v="905162759"/>
    <s v="Yusuf"/>
    <s v="Male"/>
    <d v="2031-12-07T00:00:00"/>
    <n v="1140"/>
    <n v="20"/>
    <n v="1.7500000000000002E-2"/>
    <n v="1.7543859649122806E-2"/>
    <x v="1"/>
    <n v="41"/>
    <n v="46740"/>
    <s v="EUR"/>
    <x v="14"/>
    <x v="8"/>
    <n v="0.2"/>
    <x v="0"/>
    <s v="Crimson"/>
  </r>
  <r>
    <n v="61244217"/>
    <s v="Soner"/>
    <s v="Male"/>
    <d v="2032-08-12T00:00:00"/>
    <n v="1877"/>
    <n v="44"/>
    <n v="2.3400000000000001E-2"/>
    <n v="2.3441662226957913E-2"/>
    <x v="0"/>
    <n v="43"/>
    <n v="80711"/>
    <s v="EUR"/>
    <x v="0"/>
    <x v="5"/>
    <n v="0.2"/>
    <x v="0"/>
    <s v="Crimson"/>
  </r>
  <r>
    <n v="486605698"/>
    <s v="Ali"/>
    <s v="Male"/>
    <d v="2031-10-27T00:00:00"/>
    <n v="4327"/>
    <n v="47"/>
    <n v="1.09E-2"/>
    <n v="1.086202911948232E-2"/>
    <x v="0"/>
    <n v="49"/>
    <n v="212023"/>
    <s v="EUR"/>
    <x v="1"/>
    <x v="3"/>
    <n v="0.2"/>
    <x v="0"/>
    <s v="Khaki"/>
  </r>
  <r>
    <n v="266183812"/>
    <s v="Hasan"/>
    <s v="Male"/>
    <d v="2032-07-27T00:00:00"/>
    <n v="3429"/>
    <n v="46"/>
    <n v="1.34E-2"/>
    <n v="1.3414989792942549E-2"/>
    <x v="0"/>
    <n v="41"/>
    <n v="140589"/>
    <s v="EUR"/>
    <x v="2"/>
    <x v="9"/>
    <n v="0.2"/>
    <x v="0"/>
    <s v="Orange"/>
  </r>
  <r>
    <n v="417499108"/>
    <s v="Hüseyin"/>
    <s v="Male"/>
    <d v="2030-06-09T00:00:00"/>
    <n v="1434"/>
    <n v="27"/>
    <n v="1.8800000000000001E-2"/>
    <n v="1.8828451882845189E-2"/>
    <x v="0"/>
    <n v="44"/>
    <n v="63096"/>
    <s v="EUR"/>
    <x v="3"/>
    <x v="0"/>
    <n v="0.2"/>
    <x v="0"/>
    <s v="Red"/>
  </r>
  <r>
    <n v="449913114"/>
    <s v="Canan"/>
    <s v="Female"/>
    <d v="2032-07-26T00:00:00"/>
    <n v="4090"/>
    <n v="23"/>
    <n v="5.5999999999999999E-3"/>
    <n v="5.623471882640587E-3"/>
    <x v="0"/>
    <n v="30"/>
    <n v="122700"/>
    <s v="EUR"/>
    <x v="4"/>
    <x v="5"/>
    <n v="0.2"/>
    <x v="1"/>
    <s v="Goldenrod"/>
  </r>
  <r>
    <n v="866530408"/>
    <s v="Cansu"/>
    <s v="Female"/>
    <d v="2032-06-23T00:00:00"/>
    <n v="1061"/>
    <n v="22"/>
    <n v="2.07E-2"/>
    <n v="2.0735155513666354E-2"/>
    <x v="1"/>
    <n v="30"/>
    <n v="31830"/>
    <s v="EUR"/>
    <x v="5"/>
    <x v="1"/>
    <n v="0.2"/>
    <x v="0"/>
    <s v="Purple"/>
  </r>
  <r>
    <n v="519868238"/>
    <s v="Kenan"/>
    <s v="Male"/>
    <d v="2030-04-29T00:00:00"/>
    <n v="1417"/>
    <n v="44"/>
    <n v="3.1099999999999999E-2"/>
    <n v="3.1051517290049402E-2"/>
    <x v="0"/>
    <n v="47"/>
    <n v="66599"/>
    <s v="EUR"/>
    <x v="6"/>
    <x v="8"/>
    <n v="0.2"/>
    <x v="0"/>
    <s v="Fuscia"/>
  </r>
  <r>
    <n v="344132631"/>
    <s v="Mirza"/>
    <s v="Male"/>
    <d v="2031-04-21T00:00:00"/>
    <n v="2398"/>
    <n v="14"/>
    <n v="5.7999999999999996E-3"/>
    <n v="5.8381984987489572E-3"/>
    <x v="0"/>
    <n v="50"/>
    <n v="119900"/>
    <s v="EUR"/>
    <x v="6"/>
    <x v="3"/>
    <n v="0.2"/>
    <x v="1"/>
    <s v="Goldenrod"/>
  </r>
  <r>
    <n v="879182135"/>
    <s v="Ebrar"/>
    <s v="Female"/>
    <d v="2030-07-02T00:00:00"/>
    <n v="1436"/>
    <n v="40"/>
    <n v="2.7900000000000001E-2"/>
    <n v="2.7855153203342618E-2"/>
    <x v="0"/>
    <n v="36"/>
    <n v="51696"/>
    <s v="EUR"/>
    <x v="7"/>
    <x v="6"/>
    <n v="0.2"/>
    <x v="0"/>
    <s v="Green"/>
  </r>
  <r>
    <n v="568787359"/>
    <s v="Semih"/>
    <s v="Male"/>
    <d v="2031-03-18T00:00:00"/>
    <n v="2306"/>
    <n v="21"/>
    <n v="9.1000000000000004E-3"/>
    <n v="9.1066782307025144E-3"/>
    <x v="0"/>
    <n v="36"/>
    <n v="83016"/>
    <s v="EUR"/>
    <x v="8"/>
    <x v="2"/>
    <n v="0.2"/>
    <x v="0"/>
    <s v="Maroon"/>
  </r>
  <r>
    <n v="464033157"/>
    <s v="Sevcan"/>
    <s v="Female"/>
    <d v="2030-09-02T00:00:00"/>
    <n v="4600"/>
    <n v="48"/>
    <n v="1.04E-2"/>
    <n v="1.0434782608695653E-2"/>
    <x v="0"/>
    <n v="36"/>
    <n v="165600"/>
    <s v="EUR"/>
    <x v="9"/>
    <x v="8"/>
    <n v="0.2"/>
    <x v="0"/>
    <s v="Violet"/>
  </r>
  <r>
    <n v="222757131"/>
    <s v="Sevtap"/>
    <s v="Female"/>
    <d v="2032-02-22T00:00:00"/>
    <n v="4672"/>
    <n v="10"/>
    <n v="2.0999999999999999E-3"/>
    <n v="2.1404109589041095E-3"/>
    <x v="0"/>
    <n v="37"/>
    <n v="172864"/>
    <s v="EUR"/>
    <x v="10"/>
    <x v="1"/>
    <n v="0.2"/>
    <x v="0"/>
    <s v="Turquoise"/>
  </r>
  <r>
    <n v="678942118"/>
    <s v="Kemal"/>
    <s v="Male"/>
    <d v="2030-10-20T00:00:00"/>
    <n v="2336"/>
    <n v="10"/>
    <n v="4.3E-3"/>
    <n v="4.2808219178082189E-3"/>
    <x v="1"/>
    <n v="26"/>
    <n v="60736"/>
    <s v="EUR"/>
    <x v="11"/>
    <x v="0"/>
    <n v="0.2"/>
    <x v="1"/>
    <s v="Teal"/>
  </r>
  <r>
    <n v="641322587"/>
    <s v="Resul"/>
    <s v="Male"/>
    <d v="2031-04-26T00:00:00"/>
    <n v="2312"/>
    <n v="37"/>
    <n v="1.6E-2"/>
    <n v="1.6003460207612456E-2"/>
    <x v="0"/>
    <n v="22"/>
    <n v="50864"/>
    <s v="EUR"/>
    <x v="12"/>
    <x v="2"/>
    <n v="0.2"/>
    <x v="0"/>
    <s v="Violet"/>
  </r>
  <r>
    <n v="405247412"/>
    <s v="Beşir"/>
    <s v="Male"/>
    <d v="2031-10-02T00:00:00"/>
    <n v="2574"/>
    <n v="48"/>
    <n v="1.8599999999999998E-2"/>
    <n v="1.8648018648018648E-2"/>
    <x v="0"/>
    <n v="23"/>
    <n v="59202"/>
    <s v="EUR"/>
    <x v="13"/>
    <x v="10"/>
    <n v="0.2"/>
    <x v="0"/>
    <s v="Goldenrod"/>
  </r>
  <r>
    <n v="953792928"/>
    <s v="Yusuf"/>
    <s v="Male"/>
    <d v="2030-01-29T00:00:00"/>
    <n v="2235"/>
    <n v="23"/>
    <n v="1.03E-2"/>
    <n v="1.029082774049217E-2"/>
    <x v="0"/>
    <n v="20"/>
    <n v="44700"/>
    <s v="EUR"/>
    <x v="14"/>
    <x v="6"/>
    <n v="0.2"/>
    <x v="0"/>
    <s v="Mauv"/>
  </r>
  <r>
    <n v="930811068"/>
    <s v="Soner"/>
    <s v="Male"/>
    <d v="2030-05-13T00:00:00"/>
    <n v="4045"/>
    <n v="11"/>
    <n v="2.7000000000000001E-3"/>
    <n v="2.719406674907293E-3"/>
    <x v="0"/>
    <n v="28"/>
    <n v="113260"/>
    <s v="EUR"/>
    <x v="0"/>
    <x v="3"/>
    <n v="0.2"/>
    <x v="1"/>
    <s v="Puce"/>
  </r>
  <r>
    <n v="391686909"/>
    <s v="Ali"/>
    <s v="Male"/>
    <d v="2030-06-01T00:00:00"/>
    <n v="4678"/>
    <n v="42"/>
    <n v="8.9999999999999993E-3"/>
    <n v="8.9781958101752893E-3"/>
    <x v="0"/>
    <n v="42"/>
    <n v="196476"/>
    <s v="EUR"/>
    <x v="1"/>
    <x v="2"/>
    <n v="0.2"/>
    <x v="0"/>
    <s v="Turquoise"/>
  </r>
  <r>
    <n v="901495045"/>
    <s v="Hasan"/>
    <s v="Male"/>
    <d v="2031-02-18T00:00:00"/>
    <n v="4106"/>
    <n v="44"/>
    <n v="1.0699999999999999E-2"/>
    <n v="1.071602532878714E-2"/>
    <x v="0"/>
    <n v="38"/>
    <n v="156028"/>
    <s v="EUR"/>
    <x v="2"/>
    <x v="8"/>
    <n v="0.2"/>
    <x v="1"/>
    <s v="Yellow"/>
  </r>
  <r>
    <n v="92601973"/>
    <s v="Hüseyin"/>
    <s v="Male"/>
    <d v="2030-01-27T00:00:00"/>
    <n v="2583"/>
    <n v="19"/>
    <n v="7.4000000000000003E-3"/>
    <n v="7.3557878435927216E-3"/>
    <x v="0"/>
    <n v="40"/>
    <n v="103320"/>
    <s v="EUR"/>
    <x v="3"/>
    <x v="5"/>
    <n v="0.2"/>
    <x v="1"/>
    <s v="Indigo"/>
  </r>
  <r>
    <n v="876050770"/>
    <s v="Canan"/>
    <s v="Female"/>
    <d v="2031-05-24T00:00:00"/>
    <n v="3247"/>
    <n v="47"/>
    <n v="1.4500000000000001E-2"/>
    <n v="1.4474899907607022E-2"/>
    <x v="0"/>
    <n v="36"/>
    <n v="116892"/>
    <s v="EUR"/>
    <x v="4"/>
    <x v="1"/>
    <n v="0.2"/>
    <x v="0"/>
    <s v="Purple"/>
  </r>
  <r>
    <n v="221497961"/>
    <s v="Cansu"/>
    <s v="Female"/>
    <d v="2031-01-05T00:00:00"/>
    <n v="3559"/>
    <n v="41"/>
    <n v="1.15E-2"/>
    <n v="1.152008991289688E-2"/>
    <x v="0"/>
    <n v="40"/>
    <n v="142360"/>
    <s v="EUR"/>
    <x v="5"/>
    <x v="7"/>
    <n v="0.2"/>
    <x v="0"/>
    <s v="Blue"/>
  </r>
  <r>
    <n v="422090717"/>
    <s v="Kenan"/>
    <s v="Male"/>
    <d v="2031-02-13T00:00:00"/>
    <n v="3994"/>
    <n v="26"/>
    <n v="6.4999999999999997E-3"/>
    <n v="6.5097646469704559E-3"/>
    <x v="0"/>
    <n v="45"/>
    <n v="179730"/>
    <s v="EUR"/>
    <x v="6"/>
    <x v="6"/>
    <n v="0.2"/>
    <x v="0"/>
    <s v="Violet"/>
  </r>
  <r>
    <n v="626629043"/>
    <s v="Mirza"/>
    <s v="Male"/>
    <d v="2030-03-16T00:00:00"/>
    <n v="2467"/>
    <n v="17"/>
    <n v="6.8999999999999999E-3"/>
    <n v="6.8909606809890557E-3"/>
    <x v="0"/>
    <n v="35"/>
    <n v="86345"/>
    <s v="EUR"/>
    <x v="6"/>
    <x v="9"/>
    <n v="0.2"/>
    <x v="1"/>
    <s v="Teal"/>
  </r>
  <r>
    <n v="854559162"/>
    <s v="Ebrar"/>
    <s v="Female"/>
    <d v="2032-06-20T00:00:00"/>
    <n v="1828"/>
    <n v="15"/>
    <n v="8.2000000000000007E-3"/>
    <n v="8.2056892778993428E-3"/>
    <x v="0"/>
    <n v="41"/>
    <n v="74948"/>
    <s v="EUR"/>
    <x v="7"/>
    <x v="10"/>
    <n v="0.2"/>
    <x v="0"/>
    <s v="Mauv"/>
  </r>
  <r>
    <n v="753171254"/>
    <s v="Semih"/>
    <s v="Male"/>
    <d v="2032-09-14T00:00:00"/>
    <n v="2132"/>
    <n v="18"/>
    <n v="8.3999999999999995E-3"/>
    <n v="8.4427767354596627E-3"/>
    <x v="0"/>
    <n v="47"/>
    <n v="100204"/>
    <s v="EUR"/>
    <x v="8"/>
    <x v="1"/>
    <n v="0.2"/>
    <x v="1"/>
    <s v="Goldenrod"/>
  </r>
  <r>
    <n v="317369305"/>
    <s v="Sevcan"/>
    <s v="Female"/>
    <d v="2030-04-14T00:00:00"/>
    <n v="4297"/>
    <n v="49"/>
    <n v="1.14E-2"/>
    <n v="1.1403304631138002E-2"/>
    <x v="0"/>
    <n v="36"/>
    <n v="154692"/>
    <s v="EUR"/>
    <x v="9"/>
    <x v="9"/>
    <n v="0.2"/>
    <x v="0"/>
    <s v="Violet"/>
  </r>
  <r>
    <n v="677109582"/>
    <s v="Sevtap"/>
    <s v="Female"/>
    <d v="2031-10-24T00:00:00"/>
    <n v="4537"/>
    <n v="48"/>
    <n v="1.06E-2"/>
    <n v="1.0579678201454706E-2"/>
    <x v="0"/>
    <n v="35"/>
    <n v="158795"/>
    <s v="EUR"/>
    <x v="10"/>
    <x v="10"/>
    <n v="0.2"/>
    <x v="0"/>
    <s v="Purple"/>
  </r>
  <r>
    <n v="526001079"/>
    <s v="Kemal"/>
    <s v="Male"/>
    <d v="2031-10-10T00:00:00"/>
    <n v="2411"/>
    <n v="25"/>
    <n v="1.04E-2"/>
    <n v="1.0369141435089175E-2"/>
    <x v="0"/>
    <n v="20"/>
    <n v="48220"/>
    <s v="EUR"/>
    <x v="11"/>
    <x v="10"/>
    <n v="0.2"/>
    <x v="1"/>
    <s v="Blue"/>
  </r>
  <r>
    <n v="503254489"/>
    <s v="Resul"/>
    <s v="Male"/>
    <d v="2030-07-16T00:00:00"/>
    <n v="1364"/>
    <n v="20"/>
    <n v="1.47E-2"/>
    <n v="1.466275659824047E-2"/>
    <x v="0"/>
    <n v="22"/>
    <n v="30008"/>
    <s v="EUR"/>
    <x v="12"/>
    <x v="8"/>
    <n v="0.2"/>
    <x v="0"/>
    <s v="Orange"/>
  </r>
  <r>
    <n v="336643474"/>
    <s v="Hüseyin"/>
    <s v="Male"/>
    <d v="2032-05-25T00:00:00"/>
    <n v="3730"/>
    <n v="22"/>
    <n v="5.8999999999999999E-3"/>
    <n v="5.8981233243967828E-3"/>
    <x v="0"/>
    <n v="39"/>
    <n v="145470"/>
    <s v="EUR"/>
    <x v="13"/>
    <x v="0"/>
    <n v="0.2"/>
    <x v="1"/>
    <s v="Teal"/>
  </r>
  <r>
    <n v="788965174"/>
    <s v="Canan"/>
    <s v="Female"/>
    <d v="2030-07-19T00:00:00"/>
    <n v="4230"/>
    <n v="30"/>
    <n v="7.1000000000000004E-3"/>
    <n v="7.0921985815602835E-3"/>
    <x v="0"/>
    <n v="40"/>
    <n v="169200"/>
    <s v="EUR"/>
    <x v="14"/>
    <x v="5"/>
    <n v="0.2"/>
    <x v="0"/>
    <s v="Purple"/>
  </r>
  <r>
    <n v="373055551"/>
    <s v="Cansu"/>
    <s v="Female"/>
    <d v="2032-03-02T00:00:00"/>
    <n v="3009"/>
    <n v="33"/>
    <n v="1.0999999999999999E-2"/>
    <n v="1.0967098703888335E-2"/>
    <x v="1"/>
    <n v="41"/>
    <n v="123369"/>
    <s v="EUR"/>
    <x v="0"/>
    <x v="4"/>
    <n v="0.2"/>
    <x v="0"/>
    <s v="Red"/>
  </r>
  <r>
    <n v="547423623"/>
    <s v="Kenan"/>
    <s v="Male"/>
    <d v="2031-01-24T00:00:00"/>
    <n v="2994"/>
    <n v="22"/>
    <n v="7.3000000000000001E-3"/>
    <n v="7.3480293921175683E-3"/>
    <x v="0"/>
    <n v="38"/>
    <n v="113772"/>
    <s v="EUR"/>
    <x v="1"/>
    <x v="8"/>
    <n v="0.2"/>
    <x v="1"/>
    <s v="Green"/>
  </r>
  <r>
    <n v="141008728"/>
    <s v="Mirza"/>
    <s v="Male"/>
    <d v="2031-09-28T00:00:00"/>
    <n v="3488"/>
    <n v="21"/>
    <n v="6.0000000000000001E-3"/>
    <n v="6.0206422018348627E-3"/>
    <x v="0"/>
    <n v="47"/>
    <n v="163936"/>
    <s v="EUR"/>
    <x v="2"/>
    <x v="4"/>
    <n v="0.2"/>
    <x v="0"/>
    <s v="Violet"/>
  </r>
  <r>
    <n v="139440887"/>
    <s v="Ebrar"/>
    <s v="Female"/>
    <d v="2030-07-30T00:00:00"/>
    <n v="1995"/>
    <n v="37"/>
    <n v="1.8499999999999999E-2"/>
    <n v="1.8546365914786967E-2"/>
    <x v="0"/>
    <n v="27"/>
    <n v="53865"/>
    <s v="EUR"/>
    <x v="3"/>
    <x v="9"/>
    <n v="0.2"/>
    <x v="1"/>
    <s v="Blue"/>
  </r>
  <r>
    <n v="99391027"/>
    <s v="Semih"/>
    <s v="Male"/>
    <d v="2032-10-17T00:00:00"/>
    <n v="1166"/>
    <n v="27"/>
    <n v="2.3199999999999998E-2"/>
    <n v="2.3156089193825044E-2"/>
    <x v="1"/>
    <n v="20"/>
    <n v="23320"/>
    <s v="EUR"/>
    <x v="4"/>
    <x v="5"/>
    <n v="0.2"/>
    <x v="1"/>
    <s v="Khaki"/>
  </r>
  <r>
    <n v="692580597"/>
    <s v="Sevcan"/>
    <s v="Female"/>
    <d v="2030-10-31T00:00:00"/>
    <n v="1440"/>
    <n v="26"/>
    <n v="1.8100000000000002E-2"/>
    <n v="1.8055555555555554E-2"/>
    <x v="0"/>
    <n v="39"/>
    <n v="56160"/>
    <s v="EUR"/>
    <x v="5"/>
    <x v="7"/>
    <n v="0.2"/>
    <x v="0"/>
    <s v="Teal"/>
  </r>
  <r>
    <n v="509927051"/>
    <s v="Sevtap"/>
    <s v="Female"/>
    <d v="2032-05-01T00:00:00"/>
    <n v="2506"/>
    <n v="25"/>
    <n v="0.01"/>
    <n v="9.9760574620909818E-3"/>
    <x v="0"/>
    <n v="20"/>
    <n v="50120"/>
    <s v="EUR"/>
    <x v="6"/>
    <x v="5"/>
    <n v="0.2"/>
    <x v="0"/>
    <s v="Mauv"/>
  </r>
  <r>
    <n v="905900914"/>
    <s v="Kemal"/>
    <s v="Male"/>
    <d v="2031-05-16T00:00:00"/>
    <n v="3440"/>
    <n v="27"/>
    <n v="7.7999999999999996E-3"/>
    <n v="7.8488372093023263E-3"/>
    <x v="0"/>
    <n v="50"/>
    <n v="172000"/>
    <s v="EUR"/>
    <x v="6"/>
    <x v="3"/>
    <n v="0.2"/>
    <x v="1"/>
    <s v="Blue"/>
  </r>
  <r>
    <n v="548533405"/>
    <s v="Resul"/>
    <s v="Male"/>
    <d v="2030-03-19T00:00:00"/>
    <n v="1674"/>
    <n v="27"/>
    <n v="1.61E-2"/>
    <n v="1.6129032258064516E-2"/>
    <x v="0"/>
    <n v="48"/>
    <n v="80352"/>
    <s v="EUR"/>
    <x v="7"/>
    <x v="0"/>
    <n v="0.2"/>
    <x v="1"/>
    <s v="Indigo"/>
  </r>
  <r>
    <n v="821569848"/>
    <s v="Beşir"/>
    <s v="Male"/>
    <d v="2030-01-12T00:00:00"/>
    <n v="3383"/>
    <n v="44"/>
    <n v="1.2999999999999999E-2"/>
    <n v="1.300620750812888E-2"/>
    <x v="0"/>
    <n v="26"/>
    <n v="87958"/>
    <s v="EUR"/>
    <x v="8"/>
    <x v="7"/>
    <n v="0.2"/>
    <x v="1"/>
    <s v="Goldenrod"/>
  </r>
  <r>
    <n v="941943128"/>
    <s v="Yusuf"/>
    <s v="Male"/>
    <d v="2032-12-16T00:00:00"/>
    <n v="3389"/>
    <n v="36"/>
    <n v="1.06E-2"/>
    <n v="1.0622602537621718E-2"/>
    <x v="0"/>
    <n v="43"/>
    <n v="145727"/>
    <s v="EUR"/>
    <x v="9"/>
    <x v="0"/>
    <n v="0.2"/>
    <x v="0"/>
    <s v="Aquamarine"/>
  </r>
  <r>
    <n v="629408971"/>
    <s v="Soner"/>
    <s v="Male"/>
    <d v="2031-11-18T00:00:00"/>
    <n v="2600"/>
    <n v="33"/>
    <n v="1.2699999999999999E-2"/>
    <n v="1.2692307692307692E-2"/>
    <x v="0"/>
    <n v="47"/>
    <n v="122200"/>
    <s v="EUR"/>
    <x v="10"/>
    <x v="9"/>
    <n v="0.2"/>
    <x v="1"/>
    <s v="Khaki"/>
  </r>
  <r>
    <n v="872313864"/>
    <s v="Ali"/>
    <s v="Male"/>
    <d v="2032-05-18T00:00:00"/>
    <n v="3371"/>
    <n v="24"/>
    <n v="7.1000000000000004E-3"/>
    <n v="7.1195490952239695E-3"/>
    <x v="1"/>
    <n v="33"/>
    <n v="111243"/>
    <s v="EUR"/>
    <x v="11"/>
    <x v="2"/>
    <n v="0.2"/>
    <x v="0"/>
    <s v="Aquamarine"/>
  </r>
  <r>
    <n v="16078884"/>
    <s v="Hasan"/>
    <s v="Male"/>
    <d v="2032-06-28T00:00:00"/>
    <n v="3116"/>
    <n v="41"/>
    <n v="1.32E-2"/>
    <n v="1.3157894736842105E-2"/>
    <x v="0"/>
    <n v="41"/>
    <n v="127756"/>
    <s v="EUR"/>
    <x v="12"/>
    <x v="9"/>
    <n v="0.2"/>
    <x v="0"/>
    <s v="Violet"/>
  </r>
  <r>
    <n v="266165428"/>
    <s v="Hüseyin"/>
    <s v="Male"/>
    <d v="2031-03-09T00:00:00"/>
    <n v="4310"/>
    <n v="12"/>
    <n v="2.8E-3"/>
    <n v="2.7842227378190253E-3"/>
    <x v="0"/>
    <n v="27"/>
    <n v="116370"/>
    <s v="EUR"/>
    <x v="13"/>
    <x v="4"/>
    <n v="0.2"/>
    <x v="0"/>
    <s v="Yellow"/>
  </r>
  <r>
    <n v="673138016"/>
    <s v="Canan"/>
    <s v="Female"/>
    <d v="2031-02-23T00:00:00"/>
    <n v="3032"/>
    <n v="49"/>
    <n v="1.6199999999999999E-2"/>
    <n v="1.6160949868073878E-2"/>
    <x v="0"/>
    <n v="35"/>
    <n v="106120"/>
    <s v="EUR"/>
    <x v="14"/>
    <x v="2"/>
    <n v="0.2"/>
    <x v="0"/>
    <s v="Puce"/>
  </r>
  <r>
    <n v="590855812"/>
    <s v="Cansu"/>
    <s v="Female"/>
    <d v="2030-03-11T00:00:00"/>
    <n v="1523"/>
    <n v="26"/>
    <n v="1.7100000000000001E-2"/>
    <n v="1.7071569271175313E-2"/>
    <x v="0"/>
    <n v="41"/>
    <n v="62443"/>
    <s v="EUR"/>
    <x v="0"/>
    <x v="10"/>
    <n v="0.2"/>
    <x v="0"/>
    <s v="Puce"/>
  </r>
  <r>
    <n v="617361547"/>
    <s v="Kenan"/>
    <s v="Male"/>
    <d v="2031-01-29T00:00:00"/>
    <n v="2350"/>
    <n v="25"/>
    <n v="1.06E-2"/>
    <n v="1.0638297872340425E-2"/>
    <x v="0"/>
    <n v="28"/>
    <n v="65800"/>
    <s v="EUR"/>
    <x v="1"/>
    <x v="2"/>
    <n v="0.2"/>
    <x v="1"/>
    <s v="Puce"/>
  </r>
  <r>
    <n v="283641749"/>
    <s v="Mirza"/>
    <s v="Male"/>
    <d v="2030-06-05T00:00:00"/>
    <n v="3776"/>
    <n v="42"/>
    <n v="1.11E-2"/>
    <n v="1.1122881355932203E-2"/>
    <x v="0"/>
    <n v="38"/>
    <n v="143488"/>
    <s v="EUR"/>
    <x v="2"/>
    <x v="7"/>
    <n v="0.2"/>
    <x v="1"/>
    <s v="Indigo"/>
  </r>
  <r>
    <n v="849900696"/>
    <s v="Ebrar"/>
    <s v="Female"/>
    <d v="2032-06-18T00:00:00"/>
    <n v="3147"/>
    <n v="31"/>
    <n v="9.9000000000000008E-3"/>
    <n v="9.850651414045123E-3"/>
    <x v="0"/>
    <n v="37"/>
    <n v="116439"/>
    <s v="EUR"/>
    <x v="3"/>
    <x v="10"/>
    <n v="0.2"/>
    <x v="1"/>
    <s v="Red"/>
  </r>
  <r>
    <n v="41632667"/>
    <s v="Semih"/>
    <s v="Male"/>
    <d v="2032-05-06T00:00:00"/>
    <n v="2277"/>
    <n v="48"/>
    <n v="2.1100000000000001E-2"/>
    <n v="2.1080368906455864E-2"/>
    <x v="0"/>
    <n v="30"/>
    <n v="68310"/>
    <s v="EUR"/>
    <x v="4"/>
    <x v="8"/>
    <n v="0.2"/>
    <x v="0"/>
    <s v="Purple"/>
  </r>
  <r>
    <n v="445570921"/>
    <s v="Sevcan"/>
    <s v="Female"/>
    <d v="2032-12-24T00:00:00"/>
    <n v="1802"/>
    <n v="43"/>
    <n v="2.3900000000000001E-2"/>
    <n v="2.3862375138734741E-2"/>
    <x v="0"/>
    <n v="21"/>
    <n v="37842"/>
    <s v="EUR"/>
    <x v="5"/>
    <x v="1"/>
    <n v="0.2"/>
    <x v="1"/>
    <s v="Blue"/>
  </r>
  <r>
    <n v="334478098"/>
    <s v="Sevtap"/>
    <s v="Female"/>
    <d v="2030-06-21T00:00:00"/>
    <n v="3910"/>
    <n v="32"/>
    <n v="8.2000000000000007E-3"/>
    <n v="8.1841432225063931E-3"/>
    <x v="0"/>
    <n v="38"/>
    <n v="148580"/>
    <s v="EUR"/>
    <x v="6"/>
    <x v="7"/>
    <n v="0.2"/>
    <x v="0"/>
    <s v="Blue"/>
  </r>
  <r>
    <n v="189298396"/>
    <s v="Kemal"/>
    <s v="Male"/>
    <d v="2032-10-11T00:00:00"/>
    <n v="2234"/>
    <n v="37"/>
    <n v="1.66E-2"/>
    <n v="1.656222023276634E-2"/>
    <x v="1"/>
    <n v="43"/>
    <n v="96062"/>
    <s v="EUR"/>
    <x v="6"/>
    <x v="10"/>
    <n v="0.2"/>
    <x v="0"/>
    <s v="Mauv"/>
  </r>
  <r>
    <n v="634825221"/>
    <s v="Resul"/>
    <s v="Male"/>
    <d v="2031-12-03T00:00:00"/>
    <n v="2671"/>
    <n v="43"/>
    <n v="1.61E-2"/>
    <n v="1.6098839385997755E-2"/>
    <x v="0"/>
    <n v="40"/>
    <n v="106840"/>
    <s v="EUR"/>
    <x v="7"/>
    <x v="4"/>
    <n v="0.2"/>
    <x v="1"/>
    <s v="Aquamarine"/>
  </r>
  <r>
    <n v="184698699"/>
    <s v="Beşir"/>
    <s v="Male"/>
    <d v="2031-11-06T00:00:00"/>
    <n v="4135"/>
    <n v="35"/>
    <n v="8.5000000000000006E-3"/>
    <n v="8.4643288996372433E-3"/>
    <x v="0"/>
    <n v="45"/>
    <n v="186075"/>
    <s v="EUR"/>
    <x v="8"/>
    <x v="8"/>
    <n v="0.2"/>
    <x v="1"/>
    <s v="Blue"/>
  </r>
  <r>
    <n v="291072606"/>
    <s v="Yusuf"/>
    <s v="Male"/>
    <d v="2032-10-13T00:00:00"/>
    <n v="4549"/>
    <n v="14"/>
    <n v="3.0999999999999999E-3"/>
    <n v="3.0775994724115191E-3"/>
    <x v="0"/>
    <n v="26"/>
    <n v="118274"/>
    <s v="EUR"/>
    <x v="9"/>
    <x v="7"/>
    <n v="0.2"/>
    <x v="0"/>
    <s v="Khaki"/>
  </r>
  <r>
    <n v="615833930"/>
    <s v="Soner"/>
    <s v="Male"/>
    <d v="2031-08-30T00:00:00"/>
    <n v="4543"/>
    <n v="37"/>
    <n v="8.0999999999999996E-3"/>
    <n v="8.1443979749064501E-3"/>
    <x v="0"/>
    <n v="23"/>
    <n v="104489"/>
    <s v="EUR"/>
    <x v="10"/>
    <x v="0"/>
    <n v="0.2"/>
    <x v="1"/>
    <s v="Puce"/>
  </r>
  <r>
    <n v="240772280"/>
    <s v="Ali"/>
    <s v="Male"/>
    <d v="2031-10-24T00:00:00"/>
    <n v="2948"/>
    <n v="43"/>
    <n v="1.46E-2"/>
    <n v="1.4586160108548168E-2"/>
    <x v="0"/>
    <n v="27"/>
    <n v="79596"/>
    <s v="EUR"/>
    <x v="11"/>
    <x v="2"/>
    <n v="0.2"/>
    <x v="1"/>
    <s v="Green"/>
  </r>
  <r>
    <n v="608061101"/>
    <s v="Hasan"/>
    <s v="Male"/>
    <d v="2032-05-10T00:00:00"/>
    <n v="2227"/>
    <n v="22"/>
    <n v="9.9000000000000008E-3"/>
    <n v="9.8787606645711727E-3"/>
    <x v="0"/>
    <n v="21"/>
    <n v="46767"/>
    <s v="EUR"/>
    <x v="12"/>
    <x v="3"/>
    <n v="0.2"/>
    <x v="0"/>
    <s v="Puce"/>
  </r>
  <r>
    <n v="443926422"/>
    <s v="Hüseyin"/>
    <s v="Male"/>
    <d v="2032-04-01T00:00:00"/>
    <n v="3543"/>
    <n v="15"/>
    <n v="4.1999999999999997E-3"/>
    <n v="4.2337002540220152E-3"/>
    <x v="0"/>
    <n v="38"/>
    <n v="134634"/>
    <s v="EUR"/>
    <x v="13"/>
    <x v="7"/>
    <n v="0.2"/>
    <x v="1"/>
    <s v="Red"/>
  </r>
  <r>
    <n v="43396502"/>
    <s v="Canan"/>
    <s v="Female"/>
    <d v="2032-02-29T00:00:00"/>
    <n v="3390"/>
    <n v="46"/>
    <n v="1.3599999999999999E-2"/>
    <n v="1.3569321533923304E-2"/>
    <x v="0"/>
    <n v="23"/>
    <n v="77970"/>
    <s v="EUR"/>
    <x v="14"/>
    <x v="3"/>
    <n v="0.2"/>
    <x v="1"/>
    <s v="Teal"/>
  </r>
  <r>
    <n v="288490387"/>
    <s v="Cansu"/>
    <s v="Female"/>
    <d v="2032-02-22T00:00:00"/>
    <n v="4509"/>
    <n v="50"/>
    <n v="1.11E-2"/>
    <n v="1.1088933244621867E-2"/>
    <x v="0"/>
    <n v="45"/>
    <n v="202905"/>
    <s v="EUR"/>
    <x v="0"/>
    <x v="2"/>
    <n v="0.2"/>
    <x v="1"/>
    <s v="Crimson"/>
  </r>
  <r>
    <n v="340056113"/>
    <s v="Kenan"/>
    <s v="Male"/>
    <d v="2031-07-06T00:00:00"/>
    <n v="3297"/>
    <n v="27"/>
    <n v="8.2000000000000007E-3"/>
    <n v="8.1892629663330302E-3"/>
    <x v="0"/>
    <n v="22"/>
    <n v="72534"/>
    <s v="EUR"/>
    <x v="1"/>
    <x v="4"/>
    <n v="0.2"/>
    <x v="1"/>
    <s v="Aquamarine"/>
  </r>
  <r>
    <n v="287389802"/>
    <s v="Mirza"/>
    <s v="Male"/>
    <d v="2030-01-13T00:00:00"/>
    <n v="1593"/>
    <n v="47"/>
    <n v="2.9499999999999998E-2"/>
    <n v="2.9504080351537978E-2"/>
    <x v="0"/>
    <n v="39"/>
    <n v="62127"/>
    <s v="EUR"/>
    <x v="2"/>
    <x v="3"/>
    <n v="0.2"/>
    <x v="0"/>
    <s v="Maroon"/>
  </r>
  <r>
    <n v="739501426"/>
    <s v="Ebrar"/>
    <s v="Female"/>
    <d v="2032-04-20T00:00:00"/>
    <n v="1135"/>
    <n v="31"/>
    <n v="2.7300000000000001E-2"/>
    <n v="2.7312775330396475E-2"/>
    <x v="0"/>
    <n v="32"/>
    <n v="36320"/>
    <s v="EUR"/>
    <x v="3"/>
    <x v="9"/>
    <n v="0.2"/>
    <x v="1"/>
    <s v="Violet"/>
  </r>
  <r>
    <n v="200842033"/>
    <s v="Semih"/>
    <s v="Male"/>
    <d v="2032-08-29T00:00:00"/>
    <n v="3444"/>
    <n v="18"/>
    <n v="5.1999999999999998E-3"/>
    <n v="5.2264808362369342E-3"/>
    <x v="0"/>
    <n v="39"/>
    <n v="134316"/>
    <s v="EUR"/>
    <x v="4"/>
    <x v="2"/>
    <n v="0.2"/>
    <x v="0"/>
    <s v="Indigo"/>
  </r>
  <r>
    <n v="585938662"/>
    <s v="Sevcan"/>
    <s v="Female"/>
    <d v="2032-02-10T00:00:00"/>
    <n v="2013"/>
    <n v="13"/>
    <n v="6.4999999999999997E-3"/>
    <n v="6.4580228514654744E-3"/>
    <x v="0"/>
    <n v="34"/>
    <n v="68442"/>
    <s v="EUR"/>
    <x v="5"/>
    <x v="4"/>
    <n v="0.2"/>
    <x v="1"/>
    <s v="Khaki"/>
  </r>
  <r>
    <n v="138089561"/>
    <s v="Sevtap"/>
    <s v="Female"/>
    <d v="2032-07-03T00:00:00"/>
    <n v="3241"/>
    <n v="19"/>
    <n v="5.8999999999999999E-3"/>
    <n v="5.8623881518049988E-3"/>
    <x v="0"/>
    <n v="39"/>
    <n v="126399"/>
    <s v="EUR"/>
    <x v="6"/>
    <x v="3"/>
    <n v="0.2"/>
    <x v="1"/>
    <s v="Red"/>
  </r>
  <r>
    <n v="771973557"/>
    <s v="Kemal"/>
    <s v="Male"/>
    <d v="2032-05-14T00:00:00"/>
    <n v="3651"/>
    <n v="48"/>
    <n v="1.3100000000000001E-2"/>
    <n v="1.314708299096138E-2"/>
    <x v="0"/>
    <n v="48"/>
    <n v="175248"/>
    <s v="EUR"/>
    <x v="6"/>
    <x v="4"/>
    <n v="0.2"/>
    <x v="1"/>
    <s v="Fuscia"/>
  </r>
  <r>
    <n v="957440347"/>
    <s v="Resul"/>
    <s v="Male"/>
    <d v="2030-06-10T00:00:00"/>
    <n v="2757"/>
    <n v="21"/>
    <n v="7.6E-3"/>
    <n v="7.6169749727965181E-3"/>
    <x v="0"/>
    <n v="34"/>
    <n v="93738"/>
    <s v="EUR"/>
    <x v="7"/>
    <x v="8"/>
    <n v="0.2"/>
    <x v="0"/>
    <s v="Pink"/>
  </r>
  <r>
    <n v="21482972"/>
    <s v="Hüseyin"/>
    <s v="Male"/>
    <d v="2031-10-18T00:00:00"/>
    <n v="2014"/>
    <n v="14"/>
    <n v="7.0000000000000001E-3"/>
    <n v="6.9513406156901684E-3"/>
    <x v="0"/>
    <n v="36"/>
    <n v="72504"/>
    <s v="EUR"/>
    <x v="8"/>
    <x v="2"/>
    <n v="0.2"/>
    <x v="1"/>
    <s v="Red"/>
  </r>
  <r>
    <n v="310572126"/>
    <s v="Canan"/>
    <s v="Female"/>
    <d v="2030-02-20T00:00:00"/>
    <n v="4291"/>
    <n v="17"/>
    <n v="4.0000000000000001E-3"/>
    <n v="3.9617804707527387E-3"/>
    <x v="0"/>
    <n v="45"/>
    <n v="193095"/>
    <s v="EUR"/>
    <x v="9"/>
    <x v="1"/>
    <n v="0.2"/>
    <x v="1"/>
    <s v="Orange"/>
  </r>
  <r>
    <n v="70669724"/>
    <s v="Cansu"/>
    <s v="Female"/>
    <d v="2030-07-10T00:00:00"/>
    <n v="2868"/>
    <n v="11"/>
    <n v="3.8E-3"/>
    <n v="3.8354253835425384E-3"/>
    <x v="0"/>
    <n v="36"/>
    <n v="103248"/>
    <s v="EUR"/>
    <x v="10"/>
    <x v="6"/>
    <n v="0.2"/>
    <x v="0"/>
    <s v="Pink"/>
  </r>
  <r>
    <n v="542799900"/>
    <s v="Kenan"/>
    <s v="Male"/>
    <d v="2031-03-23T00:00:00"/>
    <n v="3895"/>
    <n v="34"/>
    <n v="8.6999999999999994E-3"/>
    <n v="8.7291399229781769E-3"/>
    <x v="1"/>
    <n v="43"/>
    <n v="167485"/>
    <s v="EUR"/>
    <x v="11"/>
    <x v="3"/>
    <n v="0.2"/>
    <x v="1"/>
    <s v="Mauv"/>
  </r>
  <r>
    <n v="719140657"/>
    <s v="Mirza"/>
    <s v="Male"/>
    <d v="2032-02-06T00:00:00"/>
    <n v="2403"/>
    <n v="29"/>
    <n v="1.21E-2"/>
    <n v="1.2068248023304202E-2"/>
    <x v="0"/>
    <n v="42"/>
    <n v="100926"/>
    <s v="EUR"/>
    <x v="12"/>
    <x v="0"/>
    <n v="0.2"/>
    <x v="1"/>
    <s v="Turquoise"/>
  </r>
  <r>
    <n v="651868654"/>
    <s v="Ebrar"/>
    <s v="Female"/>
    <d v="2030-12-03T00:00:00"/>
    <n v="1257"/>
    <n v="18"/>
    <n v="1.43E-2"/>
    <n v="1.4319809069212411E-2"/>
    <x v="0"/>
    <n v="36"/>
    <n v="45252"/>
    <s v="EUR"/>
    <x v="13"/>
    <x v="2"/>
    <n v="0.2"/>
    <x v="0"/>
    <s v="Orange"/>
  </r>
  <r>
    <n v="469395456"/>
    <s v="Semih"/>
    <s v="Male"/>
    <d v="2031-06-30T00:00:00"/>
    <n v="3767"/>
    <n v="14"/>
    <n v="3.7000000000000002E-3"/>
    <n v="3.7164852667905496E-3"/>
    <x v="0"/>
    <n v="48"/>
    <n v="180816"/>
    <s v="EUR"/>
    <x v="14"/>
    <x v="2"/>
    <n v="0.2"/>
    <x v="0"/>
    <s v="Puce"/>
  </r>
  <r>
    <n v="775829411"/>
    <s v="Sevcan"/>
    <s v="Female"/>
    <d v="2030-01-09T00:00:00"/>
    <n v="1583"/>
    <n v="27"/>
    <n v="1.7100000000000001E-2"/>
    <n v="1.7056222362602652E-2"/>
    <x v="0"/>
    <n v="37"/>
    <n v="58571"/>
    <s v="EUR"/>
    <x v="0"/>
    <x v="9"/>
    <n v="0.2"/>
    <x v="1"/>
    <s v="Goldenrod"/>
  </r>
  <r>
    <n v="605165492"/>
    <s v="Sevtap"/>
    <s v="Female"/>
    <d v="2031-10-01T00:00:00"/>
    <n v="3526"/>
    <n v="34"/>
    <n v="9.5999999999999992E-3"/>
    <n v="9.6426545660805441E-3"/>
    <x v="0"/>
    <n v="37"/>
    <n v="130462"/>
    <s v="EUR"/>
    <x v="1"/>
    <x v="7"/>
    <n v="0.2"/>
    <x v="1"/>
    <s v="Khaki"/>
  </r>
  <r>
    <n v="525466568"/>
    <s v="Kemal"/>
    <s v="Male"/>
    <d v="2032-06-10T00:00:00"/>
    <n v="2616"/>
    <n v="20"/>
    <n v="7.6E-3"/>
    <n v="7.6452599388379203E-3"/>
    <x v="0"/>
    <n v="42"/>
    <n v="109872"/>
    <s v="EUR"/>
    <x v="2"/>
    <x v="1"/>
    <n v="0.2"/>
    <x v="0"/>
    <s v="Orange"/>
  </r>
  <r>
    <n v="632391080"/>
    <s v="Resul"/>
    <s v="Male"/>
    <d v="2031-04-20T00:00:00"/>
    <n v="2752"/>
    <n v="21"/>
    <n v="7.6E-3"/>
    <n v="7.6308139534883718E-3"/>
    <x v="0"/>
    <n v="25"/>
    <n v="68800"/>
    <s v="EUR"/>
    <x v="3"/>
    <x v="10"/>
    <n v="0.2"/>
    <x v="1"/>
    <s v="Orange"/>
  </r>
  <r>
    <n v="801320108"/>
    <s v="Beşir"/>
    <s v="Male"/>
    <d v="2032-04-17T00:00:00"/>
    <n v="4852"/>
    <n v="21"/>
    <n v="4.3E-3"/>
    <n v="4.3281121187139322E-3"/>
    <x v="1"/>
    <n v="28"/>
    <n v="135856"/>
    <s v="EUR"/>
    <x v="4"/>
    <x v="7"/>
    <n v="0.2"/>
    <x v="1"/>
    <s v="Turquoise"/>
  </r>
  <r>
    <n v="873530906"/>
    <s v="Yusuf"/>
    <s v="Male"/>
    <d v="2032-07-31T00:00:00"/>
    <n v="1912"/>
    <n v="33"/>
    <n v="1.7299999999999999E-2"/>
    <n v="1.7259414225941423E-2"/>
    <x v="0"/>
    <n v="26"/>
    <n v="49712"/>
    <s v="EUR"/>
    <x v="5"/>
    <x v="3"/>
    <n v="0.2"/>
    <x v="0"/>
    <s v="Turquoise"/>
  </r>
  <r>
    <n v="829742623"/>
    <s v="Soner"/>
    <s v="Male"/>
    <d v="2031-08-25T00:00:00"/>
    <n v="3191"/>
    <n v="22"/>
    <n v="6.8999999999999999E-3"/>
    <n v="6.8943904732058914E-3"/>
    <x v="0"/>
    <n v="22"/>
    <n v="70202"/>
    <s v="EUR"/>
    <x v="6"/>
    <x v="3"/>
    <n v="0.2"/>
    <x v="1"/>
    <s v="Maroon"/>
  </r>
  <r>
    <n v="813723862"/>
    <s v="Ali"/>
    <s v="Male"/>
    <d v="2030-07-25T00:00:00"/>
    <n v="3472"/>
    <n v="49"/>
    <n v="1.41E-2"/>
    <n v="1.4112903225806451E-2"/>
    <x v="0"/>
    <n v="49"/>
    <n v="170128"/>
    <s v="EUR"/>
    <x v="6"/>
    <x v="3"/>
    <n v="0.2"/>
    <x v="0"/>
    <s v="Aquamarine"/>
  </r>
  <r>
    <n v="604446768"/>
    <s v="Hasan"/>
    <s v="Male"/>
    <d v="2032-04-12T00:00:00"/>
    <n v="3641"/>
    <n v="42"/>
    <n v="1.15E-2"/>
    <n v="1.1535292502059874E-2"/>
    <x v="0"/>
    <n v="34"/>
    <n v="123794"/>
    <s v="EUR"/>
    <x v="7"/>
    <x v="1"/>
    <n v="0.2"/>
    <x v="1"/>
    <s v="Indigo"/>
  </r>
  <r>
    <n v="758454398"/>
    <s v="Hüseyin"/>
    <s v="Male"/>
    <d v="2031-07-16T00:00:00"/>
    <n v="4386"/>
    <n v="45"/>
    <n v="1.03E-2"/>
    <n v="1.0259917920656635E-2"/>
    <x v="0"/>
    <n v="27"/>
    <n v="118422"/>
    <s v="EUR"/>
    <x v="8"/>
    <x v="2"/>
    <n v="0.2"/>
    <x v="1"/>
    <s v="Green"/>
  </r>
  <r>
    <n v="579776994"/>
    <s v="Canan"/>
    <s v="Female"/>
    <d v="2031-08-16T00:00:00"/>
    <n v="3587"/>
    <n v="26"/>
    <n v="7.1999999999999998E-3"/>
    <n v="7.2483969891274048E-3"/>
    <x v="0"/>
    <n v="38"/>
    <n v="136306"/>
    <s v="EUR"/>
    <x v="9"/>
    <x v="5"/>
    <n v="0.2"/>
    <x v="0"/>
    <s v="Aquamarine"/>
  </r>
  <r>
    <n v="354086275"/>
    <s v="Cansu"/>
    <s v="Female"/>
    <d v="2032-11-08T00:00:00"/>
    <n v="3075"/>
    <n v="50"/>
    <n v="1.6299999999999999E-2"/>
    <n v="1.6260162601626018E-2"/>
    <x v="0"/>
    <n v="46"/>
    <n v="141450"/>
    <s v="EUR"/>
    <x v="10"/>
    <x v="3"/>
    <n v="0.2"/>
    <x v="0"/>
    <s v="Turquoise"/>
  </r>
  <r>
    <n v="259183812"/>
    <s v="Kenan"/>
    <s v="Male"/>
    <d v="2032-02-07T00:00:00"/>
    <n v="4110"/>
    <n v="12"/>
    <n v="2.8999999999999998E-3"/>
    <n v="2.9197080291970801E-3"/>
    <x v="0"/>
    <n v="41"/>
    <n v="168510"/>
    <s v="EUR"/>
    <x v="11"/>
    <x v="6"/>
    <n v="0.2"/>
    <x v="0"/>
    <s v="Aquamarine"/>
  </r>
  <r>
    <n v="344254351"/>
    <s v="Mirza"/>
    <s v="Male"/>
    <d v="2030-07-02T00:00:00"/>
    <n v="1360"/>
    <n v="30"/>
    <n v="2.2100000000000002E-2"/>
    <n v="2.2058823529411766E-2"/>
    <x v="0"/>
    <n v="37"/>
    <n v="50320"/>
    <s v="EUR"/>
    <x v="12"/>
    <x v="9"/>
    <n v="0.2"/>
    <x v="0"/>
    <s v="Crimson"/>
  </r>
  <r>
    <n v="460304021"/>
    <s v="Ebrar"/>
    <s v="Female"/>
    <d v="2032-06-16T00:00:00"/>
    <n v="2978"/>
    <n v="41"/>
    <n v="1.38E-2"/>
    <n v="1.3767629281396911E-2"/>
    <x v="0"/>
    <n v="22"/>
    <n v="65516"/>
    <s v="EUR"/>
    <x v="13"/>
    <x v="0"/>
    <n v="0.2"/>
    <x v="0"/>
    <s v="Mauv"/>
  </r>
  <r>
    <n v="822298243"/>
    <s v="Semih"/>
    <s v="Male"/>
    <d v="2031-03-01T00:00:00"/>
    <n v="3373"/>
    <n v="16"/>
    <n v="4.7000000000000002E-3"/>
    <n v="4.7435517343611027E-3"/>
    <x v="4"/>
    <n v="26"/>
    <n v="87698"/>
    <s v="GBP"/>
    <x v="14"/>
    <x v="5"/>
    <n v="0.2"/>
    <x v="1"/>
    <s v="Goldenrod"/>
  </r>
  <r>
    <n v="645369291"/>
    <s v="Sevcan"/>
    <s v="Female"/>
    <d v="2030-11-28T00:00:00"/>
    <n v="4465"/>
    <n v="36"/>
    <n v="8.0999999999999996E-3"/>
    <n v="8.0627099664053754E-3"/>
    <x v="2"/>
    <n v="32"/>
    <n v="142880"/>
    <s v="EUR"/>
    <x v="0"/>
    <x v="3"/>
    <n v="0.2"/>
    <x v="1"/>
    <s v="Orange"/>
  </r>
  <r>
    <n v="935327102"/>
    <s v="Sevtap"/>
    <s v="Female"/>
    <d v="2031-04-16T00:00:00"/>
    <n v="3103"/>
    <n v="43"/>
    <n v="1.3899999999999999E-2"/>
    <n v="1.3857557202707057E-2"/>
    <x v="0"/>
    <n v="27"/>
    <n v="83781"/>
    <s v="EUR"/>
    <x v="1"/>
    <x v="4"/>
    <n v="0.2"/>
    <x v="1"/>
    <s v="Yellow"/>
  </r>
  <r>
    <n v="752072949"/>
    <s v="Kemal"/>
    <s v="Male"/>
    <d v="2030-11-18T00:00:00"/>
    <n v="1292"/>
    <n v="47"/>
    <n v="3.6400000000000002E-2"/>
    <n v="3.637770897832817E-2"/>
    <x v="0"/>
    <n v="29"/>
    <n v="37468"/>
    <s v="EUR"/>
    <x v="2"/>
    <x v="9"/>
    <n v="0.2"/>
    <x v="1"/>
    <s v="Blue"/>
  </r>
  <r>
    <n v="606486580"/>
    <s v="Resul"/>
    <s v="Male"/>
    <d v="2030-10-20T00:00:00"/>
    <n v="4273"/>
    <n v="37"/>
    <n v="8.6999999999999994E-3"/>
    <n v="8.6590217645682189E-3"/>
    <x v="0"/>
    <n v="38"/>
    <n v="162374"/>
    <s v="EUR"/>
    <x v="3"/>
    <x v="9"/>
    <n v="0.2"/>
    <x v="0"/>
    <s v="Pink"/>
  </r>
  <r>
    <n v="183166352"/>
    <s v="Beşir"/>
    <s v="Male"/>
    <d v="2030-01-01T00:00:00"/>
    <n v="2918"/>
    <n v="45"/>
    <n v="1.54E-2"/>
    <n v="1.5421521590130226E-2"/>
    <x v="0"/>
    <n v="29"/>
    <n v="84622"/>
    <s v="EUR"/>
    <x v="4"/>
    <x v="6"/>
    <n v="0.2"/>
    <x v="0"/>
    <s v="Puce"/>
  </r>
  <r>
    <n v="620882368"/>
    <s v="Yusuf"/>
    <s v="Male"/>
    <d v="2031-02-21T00:00:00"/>
    <n v="4388"/>
    <n v="40"/>
    <n v="9.1000000000000004E-3"/>
    <n v="9.1157702825888781E-3"/>
    <x v="0"/>
    <n v="27"/>
    <n v="118476"/>
    <s v="EUR"/>
    <x v="5"/>
    <x v="2"/>
    <n v="0.2"/>
    <x v="0"/>
    <s v="Crimson"/>
  </r>
  <r>
    <n v="978618623"/>
    <s v="Soner"/>
    <s v="Male"/>
    <d v="2032-06-01T00:00:00"/>
    <n v="1779"/>
    <n v="29"/>
    <n v="1.6299999999999999E-2"/>
    <n v="1.6301292861157952E-2"/>
    <x v="0"/>
    <n v="34"/>
    <n v="60486"/>
    <s v="EUR"/>
    <x v="6"/>
    <x v="2"/>
    <n v="0.2"/>
    <x v="1"/>
    <s v="Maroon"/>
  </r>
  <r>
    <n v="957468724"/>
    <s v="Ali"/>
    <s v="Male"/>
    <d v="2031-01-21T00:00:00"/>
    <n v="3850"/>
    <n v="50"/>
    <n v="1.2999999999999999E-2"/>
    <n v="1.2987012987012988E-2"/>
    <x v="0"/>
    <n v="43"/>
    <n v="165550"/>
    <s v="EUR"/>
    <x v="6"/>
    <x v="7"/>
    <n v="0.2"/>
    <x v="1"/>
    <s v="Crimson"/>
  </r>
  <r>
    <n v="866274532"/>
    <s v="Hasan"/>
    <s v="Male"/>
    <d v="2030-12-13T00:00:00"/>
    <n v="4576"/>
    <n v="45"/>
    <n v="9.7999999999999997E-3"/>
    <n v="9.833916083916084E-3"/>
    <x v="0"/>
    <n v="44"/>
    <n v="201344"/>
    <s v="EUR"/>
    <x v="7"/>
    <x v="10"/>
    <n v="0.2"/>
    <x v="0"/>
    <s v="Green"/>
  </r>
  <r>
    <n v="386676338"/>
    <s v="Hüseyin"/>
    <s v="Male"/>
    <d v="2030-10-06T00:00:00"/>
    <n v="3526"/>
    <n v="28"/>
    <n v="7.9000000000000008E-3"/>
    <n v="7.9410096426545656E-3"/>
    <x v="0"/>
    <n v="36"/>
    <n v="126936"/>
    <s v="EUR"/>
    <x v="8"/>
    <x v="9"/>
    <n v="0.2"/>
    <x v="0"/>
    <s v="Aquamarine"/>
  </r>
  <r>
    <n v="288914484"/>
    <s v="Canan"/>
    <s v="Female"/>
    <d v="2031-12-23T00:00:00"/>
    <n v="1917"/>
    <n v="31"/>
    <n v="1.6199999999999999E-2"/>
    <n v="1.6171100678142931E-2"/>
    <x v="0"/>
    <n v="28"/>
    <n v="53676"/>
    <s v="EUR"/>
    <x v="9"/>
    <x v="9"/>
    <n v="0.2"/>
    <x v="1"/>
    <s v="Red"/>
  </r>
  <r>
    <n v="310849286"/>
    <s v="Cansu"/>
    <s v="Female"/>
    <d v="2031-06-13T00:00:00"/>
    <n v="1308"/>
    <n v="43"/>
    <n v="3.2899999999999999E-2"/>
    <n v="3.2874617737003058E-2"/>
    <x v="0"/>
    <n v="49"/>
    <n v="64092"/>
    <s v="EUR"/>
    <x v="10"/>
    <x v="8"/>
    <n v="0.2"/>
    <x v="1"/>
    <s v="Violet"/>
  </r>
  <r>
    <n v="364049951"/>
    <s v="Kenan"/>
    <s v="Male"/>
    <d v="2032-06-28T00:00:00"/>
    <n v="4004"/>
    <n v="11"/>
    <n v="2.7000000000000001E-3"/>
    <n v="2.7472527472527475E-3"/>
    <x v="0"/>
    <n v="24"/>
    <n v="96096"/>
    <s v="EUR"/>
    <x v="11"/>
    <x v="0"/>
    <n v="0.2"/>
    <x v="0"/>
    <s v="Turquoise"/>
  </r>
  <r>
    <n v="6361162"/>
    <s v="Mirza"/>
    <s v="Male"/>
    <d v="2030-01-17T00:00:00"/>
    <n v="2823"/>
    <n v="29"/>
    <n v="1.03E-2"/>
    <n v="1.0272759475735034E-2"/>
    <x v="0"/>
    <n v="36"/>
    <n v="101628"/>
    <s v="EUR"/>
    <x v="12"/>
    <x v="0"/>
    <n v="0.2"/>
    <x v="0"/>
    <s v="Purple"/>
  </r>
  <r>
    <n v="34926585"/>
    <s v="Ebrar"/>
    <s v="Female"/>
    <d v="2031-04-01T00:00:00"/>
    <n v="1126"/>
    <n v="29"/>
    <n v="2.58E-2"/>
    <n v="2.5754884547069271E-2"/>
    <x v="0"/>
    <n v="26"/>
    <n v="29276"/>
    <s v="EUR"/>
    <x v="13"/>
    <x v="4"/>
    <n v="0.2"/>
    <x v="1"/>
    <s v="Fuscia"/>
  </r>
  <r>
    <n v="692720271"/>
    <s v="Semih"/>
    <s v="Male"/>
    <d v="2032-06-05T00:00:00"/>
    <n v="2323"/>
    <n v="31"/>
    <n v="1.3299999999999999E-2"/>
    <n v="1.334481274214378E-2"/>
    <x v="0"/>
    <n v="26"/>
    <n v="60398"/>
    <s v="EUR"/>
    <x v="14"/>
    <x v="5"/>
    <n v="0.2"/>
    <x v="1"/>
    <s v="Violet"/>
  </r>
  <r>
    <n v="901449200"/>
    <s v="Sevcan"/>
    <s v="Female"/>
    <d v="2030-04-20T00:00:00"/>
    <n v="3473"/>
    <n v="49"/>
    <n v="1.41E-2"/>
    <n v="1.4108839619925137E-2"/>
    <x v="0"/>
    <n v="22"/>
    <n v="76406"/>
    <s v="EUR"/>
    <x v="0"/>
    <x v="1"/>
    <n v="0.2"/>
    <x v="0"/>
    <s v="Crimson"/>
  </r>
  <r>
    <n v="417642308"/>
    <s v="Sevtap"/>
    <s v="Female"/>
    <d v="2030-04-09T00:00:00"/>
    <n v="2614"/>
    <n v="32"/>
    <n v="1.2200000000000001E-2"/>
    <n v="1.224177505738332E-2"/>
    <x v="0"/>
    <n v="25"/>
    <n v="65350"/>
    <s v="EUR"/>
    <x v="1"/>
    <x v="3"/>
    <n v="0.2"/>
    <x v="1"/>
    <s v="Fuscia"/>
  </r>
  <r>
    <n v="335916838"/>
    <s v="Kemal"/>
    <s v="Male"/>
    <d v="2032-04-21T00:00:00"/>
    <n v="2623"/>
    <n v="27"/>
    <n v="1.03E-2"/>
    <n v="1.0293556995806329E-2"/>
    <x v="0"/>
    <n v="47"/>
    <n v="123281"/>
    <s v="EUR"/>
    <x v="2"/>
    <x v="8"/>
    <n v="0.2"/>
    <x v="0"/>
    <s v="Fuscia"/>
  </r>
  <r>
    <n v="880150394"/>
    <s v="Resul"/>
    <s v="Male"/>
    <d v="2031-08-08T00:00:00"/>
    <n v="4142"/>
    <n v="50"/>
    <n v="1.21E-2"/>
    <n v="1.2071463061323033E-2"/>
    <x v="0"/>
    <n v="28"/>
    <n v="115976"/>
    <s v="EUR"/>
    <x v="3"/>
    <x v="7"/>
    <n v="0.2"/>
    <x v="1"/>
    <s v="Violet"/>
  </r>
  <r>
    <n v="476695858"/>
    <s v="Hüseyin"/>
    <s v="Male"/>
    <d v="2032-10-10T00:00:00"/>
    <n v="3229"/>
    <n v="44"/>
    <n v="1.3599999999999999E-2"/>
    <n v="1.3626509755342211E-2"/>
    <x v="0"/>
    <n v="35"/>
    <n v="113015"/>
    <s v="EUR"/>
    <x v="4"/>
    <x v="1"/>
    <n v="0.2"/>
    <x v="0"/>
    <s v="Maroon"/>
  </r>
  <r>
    <n v="51693764"/>
    <s v="Canan"/>
    <s v="Female"/>
    <d v="2030-08-21T00:00:00"/>
    <n v="1532"/>
    <n v="33"/>
    <n v="2.1499999999999998E-2"/>
    <n v="2.1540469973890339E-2"/>
    <x v="0"/>
    <n v="42"/>
    <n v="64344"/>
    <s v="EUR"/>
    <x v="5"/>
    <x v="0"/>
    <n v="0.2"/>
    <x v="1"/>
    <s v="Red"/>
  </r>
  <r>
    <n v="451222750"/>
    <s v="Cansu"/>
    <s v="Female"/>
    <d v="2032-05-21T00:00:00"/>
    <n v="2036"/>
    <n v="33"/>
    <n v="1.6199999999999999E-2"/>
    <n v="1.6208251473477406E-2"/>
    <x v="0"/>
    <n v="48"/>
    <n v="97728"/>
    <s v="EUR"/>
    <x v="6"/>
    <x v="1"/>
    <n v="0.2"/>
    <x v="0"/>
    <s v="Puce"/>
  </r>
  <r>
    <n v="804372215"/>
    <s v="Kenan"/>
    <s v="Male"/>
    <d v="2032-04-24T00:00:00"/>
    <n v="4751"/>
    <n v="41"/>
    <n v="8.6E-3"/>
    <n v="8.6297621553357191E-3"/>
    <x v="0"/>
    <n v="45"/>
    <n v="213795"/>
    <s v="EUR"/>
    <x v="6"/>
    <x v="9"/>
    <n v="0.2"/>
    <x v="1"/>
    <s v="Mauv"/>
  </r>
  <r>
    <n v="705722433"/>
    <s v="Mirza"/>
    <s v="Male"/>
    <d v="2032-03-13T00:00:00"/>
    <n v="4387"/>
    <n v="24"/>
    <n v="5.4999999999999997E-3"/>
    <n v="5.4707089126966035E-3"/>
    <x v="0"/>
    <n v="44"/>
    <n v="193028"/>
    <s v="EUR"/>
    <x v="7"/>
    <x v="9"/>
    <n v="0.2"/>
    <x v="0"/>
    <s v="Turquoise"/>
  </r>
  <r>
    <n v="230883324"/>
    <s v="Ebrar"/>
    <s v="Female"/>
    <d v="2030-10-30T00:00:00"/>
    <n v="1954"/>
    <n v="27"/>
    <n v="1.38E-2"/>
    <n v="1.3817809621289662E-2"/>
    <x v="0"/>
    <n v="24"/>
    <n v="46896"/>
    <s v="EUR"/>
    <x v="8"/>
    <x v="4"/>
    <n v="0.2"/>
    <x v="0"/>
    <s v="Fuscia"/>
  </r>
  <r>
    <n v="502342042"/>
    <s v="Semih"/>
    <s v="Male"/>
    <d v="2030-05-19T00:00:00"/>
    <n v="1642"/>
    <n v="16"/>
    <n v="9.7000000000000003E-3"/>
    <n v="9.7442143727161992E-3"/>
    <x v="0"/>
    <n v="42"/>
    <n v="68964"/>
    <s v="EUR"/>
    <x v="9"/>
    <x v="7"/>
    <n v="0.2"/>
    <x v="1"/>
    <s v="Orange"/>
  </r>
  <r>
    <n v="545934526"/>
    <s v="Sevcan"/>
    <s v="Female"/>
    <d v="2032-05-02T00:00:00"/>
    <n v="3497"/>
    <n v="21"/>
    <n v="6.0000000000000001E-3"/>
    <n v="6.0051472690877891E-3"/>
    <x v="0"/>
    <n v="44"/>
    <n v="153868"/>
    <s v="EUR"/>
    <x v="10"/>
    <x v="2"/>
    <n v="0.2"/>
    <x v="1"/>
    <s v="Puce"/>
  </r>
  <r>
    <n v="136794974"/>
    <s v="Sevtap"/>
    <s v="Female"/>
    <d v="2032-04-01T00:00:00"/>
    <n v="1917"/>
    <n v="25"/>
    <n v="1.2999999999999999E-2"/>
    <n v="1.3041210224308816E-2"/>
    <x v="0"/>
    <n v="50"/>
    <n v="95850"/>
    <s v="EUR"/>
    <x v="11"/>
    <x v="4"/>
    <n v="0.2"/>
    <x v="1"/>
    <s v="Red"/>
  </r>
  <r>
    <n v="717627371"/>
    <s v="Kemal"/>
    <s v="Male"/>
    <d v="2032-07-02T00:00:00"/>
    <n v="1489"/>
    <n v="12"/>
    <n v="8.0999999999999996E-3"/>
    <n v="8.0591000671591667E-3"/>
    <x v="0"/>
    <n v="43"/>
    <n v="64027"/>
    <s v="EUR"/>
    <x v="12"/>
    <x v="1"/>
    <n v="0.2"/>
    <x v="1"/>
    <s v="Blue"/>
  </r>
  <r>
    <n v="435834606"/>
    <s v="Resul"/>
    <s v="Male"/>
    <d v="2030-08-06T00:00:00"/>
    <n v="3318"/>
    <n v="39"/>
    <n v="1.18E-2"/>
    <n v="1.1754068716094032E-2"/>
    <x v="0"/>
    <n v="22"/>
    <n v="72996"/>
    <s v="EUR"/>
    <x v="13"/>
    <x v="7"/>
    <n v="0.2"/>
    <x v="0"/>
    <s v="Crimson"/>
  </r>
  <r>
    <n v="870449213"/>
    <s v="Beşir"/>
    <s v="Male"/>
    <d v="2032-11-27T00:00:00"/>
    <n v="4428"/>
    <n v="20"/>
    <n v="4.4999999999999997E-3"/>
    <n v="4.5167118337850042E-3"/>
    <x v="0"/>
    <n v="46"/>
    <n v="203688"/>
    <s v="EUR"/>
    <x v="14"/>
    <x v="0"/>
    <n v="0.2"/>
    <x v="0"/>
    <s v="Indigo"/>
  </r>
  <r>
    <n v="584472547"/>
    <s v="Yusuf"/>
    <s v="Male"/>
    <d v="2031-05-03T00:00:00"/>
    <n v="4687"/>
    <n v="22"/>
    <n v="4.7000000000000002E-3"/>
    <n v="4.6938340089609561E-3"/>
    <x v="0"/>
    <n v="22"/>
    <n v="103114"/>
    <s v="EUR"/>
    <x v="0"/>
    <x v="7"/>
    <n v="0.2"/>
    <x v="1"/>
    <s v="Indigo"/>
  </r>
  <r>
    <n v="12697449"/>
    <s v="Soner"/>
    <s v="Male"/>
    <d v="2030-06-17T00:00:00"/>
    <n v="4315"/>
    <n v="48"/>
    <n v="1.11E-2"/>
    <n v="1.1123986095017382E-2"/>
    <x v="0"/>
    <n v="40"/>
    <n v="172600"/>
    <s v="EUR"/>
    <x v="1"/>
    <x v="5"/>
    <n v="0.2"/>
    <x v="0"/>
    <s v="Green"/>
  </r>
  <r>
    <n v="924558009"/>
    <s v="Ali"/>
    <s v="Male"/>
    <d v="2032-09-17T00:00:00"/>
    <n v="2072"/>
    <n v="31"/>
    <n v="1.4999999999999999E-2"/>
    <n v="1.4961389961389961E-2"/>
    <x v="0"/>
    <n v="35"/>
    <n v="72520"/>
    <s v="EUR"/>
    <x v="2"/>
    <x v="6"/>
    <n v="0.2"/>
    <x v="0"/>
    <s v="Violet"/>
  </r>
  <r>
    <n v="623823734"/>
    <s v="Hasan"/>
    <s v="Male"/>
    <d v="2031-01-20T00:00:00"/>
    <n v="3228"/>
    <n v="17"/>
    <n v="5.3E-3"/>
    <n v="5.2664188351920693E-3"/>
    <x v="0"/>
    <n v="40"/>
    <n v="129120"/>
    <s v="EUR"/>
    <x v="3"/>
    <x v="10"/>
    <n v="0.2"/>
    <x v="0"/>
    <s v="Puce"/>
  </r>
  <r>
    <n v="171267869"/>
    <s v="Hüseyin"/>
    <s v="Male"/>
    <d v="2031-12-28T00:00:00"/>
    <n v="3422"/>
    <n v="27"/>
    <n v="7.9000000000000008E-3"/>
    <n v="7.8901227352425485E-3"/>
    <x v="1"/>
    <n v="24"/>
    <n v="82128"/>
    <s v="EUR"/>
    <x v="4"/>
    <x v="7"/>
    <n v="0.2"/>
    <x v="1"/>
    <s v="Pink"/>
  </r>
  <r>
    <n v="154149497"/>
    <s v="Canan"/>
    <s v="Female"/>
    <d v="2030-02-01T00:00:00"/>
    <n v="3310"/>
    <n v="39"/>
    <n v="1.18E-2"/>
    <n v="1.1782477341389729E-2"/>
    <x v="0"/>
    <n v="43"/>
    <n v="142330"/>
    <s v="EUR"/>
    <x v="5"/>
    <x v="8"/>
    <n v="0.2"/>
    <x v="1"/>
    <s v="Indigo"/>
  </r>
  <r>
    <n v="539371108"/>
    <s v="Cansu"/>
    <s v="Female"/>
    <d v="2032-03-28T00:00:00"/>
    <n v="2688"/>
    <n v="40"/>
    <n v="1.49E-2"/>
    <n v="1.488095238095238E-2"/>
    <x v="0"/>
    <n v="34"/>
    <n v="91392"/>
    <s v="EUR"/>
    <x v="6"/>
    <x v="4"/>
    <n v="0.2"/>
    <x v="1"/>
    <s v="Orange"/>
  </r>
  <r>
    <n v="552491928"/>
    <s v="Kenan"/>
    <s v="Male"/>
    <d v="2030-07-08T00:00:00"/>
    <n v="1514"/>
    <n v="14"/>
    <n v="9.1999999999999998E-3"/>
    <n v="9.247027741083224E-3"/>
    <x v="0"/>
    <n v="22"/>
    <n v="33308"/>
    <s v="EUR"/>
    <x v="6"/>
    <x v="1"/>
    <n v="0.2"/>
    <x v="0"/>
    <s v="Maroon"/>
  </r>
  <r>
    <n v="726659025"/>
    <s v="Mirza"/>
    <s v="Male"/>
    <d v="2032-07-07T00:00:00"/>
    <n v="4777"/>
    <n v="49"/>
    <n v="1.03E-2"/>
    <n v="1.0257483776428721E-2"/>
    <x v="0"/>
    <n v="36"/>
    <n v="171972"/>
    <s v="EUR"/>
    <x v="7"/>
    <x v="6"/>
    <n v="0.2"/>
    <x v="1"/>
    <s v="Blue"/>
  </r>
  <r>
    <n v="741930424"/>
    <s v="Ebrar"/>
    <s v="Female"/>
    <d v="2030-04-17T00:00:00"/>
    <n v="2069"/>
    <n v="45"/>
    <n v="2.1700000000000001E-2"/>
    <n v="2.1749637506041565E-2"/>
    <x v="0"/>
    <n v="39"/>
    <n v="80691"/>
    <s v="EUR"/>
    <x v="8"/>
    <x v="8"/>
    <n v="0.2"/>
    <x v="1"/>
    <s v="Pink"/>
  </r>
  <r>
    <n v="927538153"/>
    <s v="Semih"/>
    <s v="Male"/>
    <d v="2031-04-13T00:00:00"/>
    <n v="1782"/>
    <n v="27"/>
    <n v="1.52E-2"/>
    <n v="1.5151515151515152E-2"/>
    <x v="0"/>
    <n v="42"/>
    <n v="74844"/>
    <s v="EUR"/>
    <x v="9"/>
    <x v="4"/>
    <n v="0.2"/>
    <x v="1"/>
    <s v="Pink"/>
  </r>
  <r>
    <n v="646985588"/>
    <s v="Sevcan"/>
    <s v="Female"/>
    <d v="2032-12-24T00:00:00"/>
    <n v="2674"/>
    <n v="34"/>
    <n v="1.2699999999999999E-2"/>
    <n v="1.2715033657442034E-2"/>
    <x v="0"/>
    <n v="50"/>
    <n v="133700"/>
    <s v="EUR"/>
    <x v="10"/>
    <x v="9"/>
    <n v="0.2"/>
    <x v="1"/>
    <s v="Green"/>
  </r>
  <r>
    <n v="243554229"/>
    <s v="Sevtap"/>
    <s v="Female"/>
    <d v="2031-02-01T00:00:00"/>
    <n v="3603"/>
    <n v="19"/>
    <n v="5.3E-3"/>
    <n v="5.2733832917013597E-3"/>
    <x v="0"/>
    <n v="37"/>
    <n v="133311"/>
    <s v="EUR"/>
    <x v="11"/>
    <x v="7"/>
    <n v="0.2"/>
    <x v="0"/>
    <s v="Teal"/>
  </r>
  <r>
    <n v="425162214"/>
    <s v="Kemal"/>
    <s v="Male"/>
    <d v="2032-07-12T00:00:00"/>
    <n v="1363"/>
    <n v="11"/>
    <n v="8.0999999999999996E-3"/>
    <n v="8.0704328686720464E-3"/>
    <x v="0"/>
    <n v="33"/>
    <n v="44979"/>
    <s v="EUR"/>
    <x v="12"/>
    <x v="4"/>
    <n v="0.2"/>
    <x v="0"/>
    <s v="Blue"/>
  </r>
  <r>
    <n v="994457386"/>
    <s v="Resul"/>
    <s v="Male"/>
    <d v="2032-01-13T00:00:00"/>
    <n v="2363"/>
    <n v="32"/>
    <n v="1.35E-2"/>
    <n v="1.3542107490478206E-2"/>
    <x v="0"/>
    <n v="44"/>
    <n v="103972"/>
    <s v="EUR"/>
    <x v="13"/>
    <x v="7"/>
    <n v="0.2"/>
    <x v="1"/>
    <s v="Violet"/>
  </r>
  <r>
    <n v="911945639"/>
    <s v="Beşir"/>
    <s v="Male"/>
    <d v="2030-04-02T00:00:00"/>
    <n v="1576"/>
    <n v="42"/>
    <n v="2.6599999999999999E-2"/>
    <n v="2.6649746192893401E-2"/>
    <x v="0"/>
    <n v="27"/>
    <n v="42552"/>
    <s v="EUR"/>
    <x v="14"/>
    <x v="0"/>
    <n v="0.2"/>
    <x v="0"/>
    <s v="Turquoise"/>
  </r>
  <r>
    <n v="78892393"/>
    <s v="Yusuf"/>
    <s v="Male"/>
    <d v="2032-04-18T00:00:00"/>
    <n v="4216"/>
    <n v="48"/>
    <n v="1.14E-2"/>
    <n v="1.1385199240986717E-2"/>
    <x v="1"/>
    <n v="49"/>
    <n v="206584"/>
    <s v="EUR"/>
    <x v="0"/>
    <x v="10"/>
    <n v="0.2"/>
    <x v="0"/>
    <s v="Fuscia"/>
  </r>
  <r>
    <n v="276073647"/>
    <s v="Soner"/>
    <s v="Male"/>
    <d v="2032-05-01T00:00:00"/>
    <n v="4776"/>
    <n v="22"/>
    <n v="4.5999999999999999E-3"/>
    <n v="4.6063651591289785E-3"/>
    <x v="0"/>
    <n v="31"/>
    <n v="148056"/>
    <s v="EUR"/>
    <x v="1"/>
    <x v="7"/>
    <n v="0.2"/>
    <x v="1"/>
    <s v="Orange"/>
  </r>
  <r>
    <n v="813511693"/>
    <s v="Ali"/>
    <s v="Male"/>
    <d v="2030-12-17T00:00:00"/>
    <n v="3586"/>
    <n v="50"/>
    <n v="1.3899999999999999E-2"/>
    <n v="1.3943112102621304E-2"/>
    <x v="0"/>
    <n v="49"/>
    <n v="175714"/>
    <s v="EUR"/>
    <x v="2"/>
    <x v="7"/>
    <n v="0.2"/>
    <x v="0"/>
    <s v="Red"/>
  </r>
  <r>
    <n v="943093184"/>
    <s v="Hasan"/>
    <s v="Male"/>
    <d v="2032-12-26T00:00:00"/>
    <n v="3184"/>
    <n v="35"/>
    <n v="1.0999999999999999E-2"/>
    <n v="1.099246231155779E-2"/>
    <x v="0"/>
    <n v="20"/>
    <n v="63680"/>
    <s v="EUR"/>
    <x v="3"/>
    <x v="2"/>
    <n v="0.2"/>
    <x v="1"/>
    <s v="Green"/>
  </r>
  <r>
    <n v="387578502"/>
    <s v="Hüseyin"/>
    <s v="Male"/>
    <d v="2030-06-20T00:00:00"/>
    <n v="1832"/>
    <n v="21"/>
    <n v="1.15E-2"/>
    <n v="1.146288209606987E-2"/>
    <x v="0"/>
    <n v="30"/>
    <n v="54960"/>
    <s v="EUR"/>
    <x v="4"/>
    <x v="7"/>
    <n v="0.2"/>
    <x v="1"/>
    <s v="Purple"/>
  </r>
  <r>
    <n v="295269372"/>
    <s v="Canan"/>
    <s v="Female"/>
    <d v="2031-02-12T00:00:00"/>
    <n v="3244"/>
    <n v="36"/>
    <n v="1.11E-2"/>
    <n v="1.1097410604192354E-2"/>
    <x v="0"/>
    <n v="29"/>
    <n v="94076"/>
    <s v="EUR"/>
    <x v="5"/>
    <x v="2"/>
    <n v="0.2"/>
    <x v="1"/>
    <s v="Violet"/>
  </r>
  <r>
    <n v="19517406"/>
    <s v="Cansu"/>
    <s v="Female"/>
    <d v="2031-08-07T00:00:00"/>
    <n v="2280"/>
    <n v="17"/>
    <n v="7.4999999999999997E-3"/>
    <n v="7.4561403508771927E-3"/>
    <x v="0"/>
    <n v="49"/>
    <n v="111720"/>
    <s v="EUR"/>
    <x v="6"/>
    <x v="6"/>
    <n v="0.2"/>
    <x v="0"/>
    <s v="Indigo"/>
  </r>
  <r>
    <n v="20850405"/>
    <s v="Kenan"/>
    <s v="Male"/>
    <d v="2030-06-20T00:00:00"/>
    <n v="3137"/>
    <n v="37"/>
    <n v="1.18E-2"/>
    <n v="1.1794708320051004E-2"/>
    <x v="0"/>
    <n v="44"/>
    <n v="138028"/>
    <s v="EUR"/>
    <x v="6"/>
    <x v="4"/>
    <n v="0.2"/>
    <x v="1"/>
    <s v="Fuscia"/>
  </r>
  <r>
    <n v="246527946"/>
    <s v="Mirza"/>
    <s v="Male"/>
    <d v="2030-01-02T00:00:00"/>
    <n v="4984"/>
    <n v="32"/>
    <n v="6.4000000000000003E-3"/>
    <n v="6.420545746388443E-3"/>
    <x v="0"/>
    <n v="42"/>
    <n v="209328"/>
    <s v="EUR"/>
    <x v="7"/>
    <x v="10"/>
    <n v="0.2"/>
    <x v="0"/>
    <s v="Violet"/>
  </r>
  <r>
    <n v="38031517"/>
    <s v="Ebrar"/>
    <s v="Female"/>
    <d v="2031-09-24T00:00:00"/>
    <n v="4072"/>
    <n v="27"/>
    <n v="6.6E-3"/>
    <n v="6.6306483300589388E-3"/>
    <x v="0"/>
    <n v="47"/>
    <n v="191384"/>
    <s v="EUR"/>
    <x v="8"/>
    <x v="9"/>
    <n v="0.2"/>
    <x v="1"/>
    <s v="Blue"/>
  </r>
  <r>
    <n v="25680660"/>
    <s v="Semih"/>
    <s v="Male"/>
    <d v="2032-06-27T00:00:00"/>
    <n v="4039"/>
    <n v="39"/>
    <n v="9.7000000000000003E-3"/>
    <n v="9.6558554097548894E-3"/>
    <x v="0"/>
    <n v="36"/>
    <n v="145404"/>
    <s v="EUR"/>
    <x v="9"/>
    <x v="4"/>
    <n v="0.2"/>
    <x v="0"/>
    <s v="Blue"/>
  </r>
  <r>
    <n v="201916830"/>
    <s v="Sevcan"/>
    <s v="Female"/>
    <d v="2031-08-27T00:00:00"/>
    <n v="3668"/>
    <n v="14"/>
    <n v="3.8E-3"/>
    <n v="3.8167938931297708E-3"/>
    <x v="0"/>
    <n v="27"/>
    <n v="99036"/>
    <s v="EUR"/>
    <x v="10"/>
    <x v="2"/>
    <n v="0.2"/>
    <x v="1"/>
    <s v="Pink"/>
  </r>
  <r>
    <n v="849122570"/>
    <s v="Sevtap"/>
    <s v="Female"/>
    <d v="2030-04-30T00:00:00"/>
    <n v="4372"/>
    <n v="41"/>
    <n v="9.4000000000000004E-3"/>
    <n v="9.3778591033851777E-3"/>
    <x v="0"/>
    <n v="47"/>
    <n v="205484"/>
    <s v="EUR"/>
    <x v="11"/>
    <x v="1"/>
    <n v="0.2"/>
    <x v="1"/>
    <s v="Red"/>
  </r>
  <r>
    <n v="675953484"/>
    <s v="Kemal"/>
    <s v="Male"/>
    <d v="2031-09-12T00:00:00"/>
    <n v="2715"/>
    <n v="27"/>
    <n v="9.9000000000000008E-3"/>
    <n v="9.9447513812154689E-3"/>
    <x v="0"/>
    <n v="48"/>
    <n v="130320"/>
    <s v="EUR"/>
    <x v="12"/>
    <x v="0"/>
    <n v="0.2"/>
    <x v="0"/>
    <s v="Violet"/>
  </r>
  <r>
    <n v="315467638"/>
    <s v="Resul"/>
    <s v="Male"/>
    <d v="2031-08-14T00:00:00"/>
    <n v="3933"/>
    <n v="11"/>
    <n v="2.8E-3"/>
    <n v="2.7968471904398677E-3"/>
    <x v="0"/>
    <n v="25"/>
    <n v="98325"/>
    <s v="EUR"/>
    <x v="13"/>
    <x v="6"/>
    <n v="0.2"/>
    <x v="0"/>
    <s v="Aquamarine"/>
  </r>
  <r>
    <n v="742463996"/>
    <s v="Hüseyin"/>
    <s v="Male"/>
    <d v="2031-04-23T00:00:00"/>
    <n v="3370"/>
    <n v="35"/>
    <n v="1.04E-2"/>
    <n v="1.0385756676557863E-2"/>
    <x v="0"/>
    <n v="30"/>
    <n v="101100"/>
    <s v="EUR"/>
    <x v="14"/>
    <x v="4"/>
    <n v="0.2"/>
    <x v="0"/>
    <s v="Crimson"/>
  </r>
  <r>
    <n v="953831038"/>
    <s v="Canan"/>
    <s v="Female"/>
    <d v="2031-10-28T00:00:00"/>
    <n v="4019"/>
    <n v="22"/>
    <n v="5.4999999999999997E-3"/>
    <n v="5.4739985070913159E-3"/>
    <x v="0"/>
    <n v="33"/>
    <n v="132627"/>
    <s v="EUR"/>
    <x v="0"/>
    <x v="0"/>
    <n v="0.2"/>
    <x v="0"/>
    <s v="Violet"/>
  </r>
  <r>
    <n v="792138493"/>
    <s v="Cansu"/>
    <s v="Female"/>
    <d v="2030-08-25T00:00:00"/>
    <n v="4811"/>
    <n v="32"/>
    <n v="6.7000000000000002E-3"/>
    <n v="6.6514238204115565E-3"/>
    <x v="0"/>
    <n v="29"/>
    <n v="139519"/>
    <s v="EUR"/>
    <x v="1"/>
    <x v="2"/>
    <n v="0.2"/>
    <x v="1"/>
    <s v="Red"/>
  </r>
  <r>
    <n v="569415845"/>
    <s v="Kenan"/>
    <s v="Male"/>
    <d v="2032-02-09T00:00:00"/>
    <n v="3942"/>
    <n v="45"/>
    <n v="1.14E-2"/>
    <n v="1.1415525114155251E-2"/>
    <x v="0"/>
    <n v="50"/>
    <n v="197100"/>
    <s v="EUR"/>
    <x v="2"/>
    <x v="1"/>
    <n v="0.2"/>
    <x v="1"/>
    <s v="Purple"/>
  </r>
  <r>
    <n v="533671115"/>
    <s v="Mirza"/>
    <s v="Male"/>
    <d v="2030-12-23T00:00:00"/>
    <n v="4541"/>
    <n v="50"/>
    <n v="1.0999999999999999E-2"/>
    <n v="1.1010790574763268E-2"/>
    <x v="0"/>
    <n v="48"/>
    <n v="217968"/>
    <s v="EUR"/>
    <x v="3"/>
    <x v="7"/>
    <n v="0.2"/>
    <x v="0"/>
    <s v="Fuscia"/>
  </r>
  <r>
    <n v="219828040"/>
    <s v="Ebrar"/>
    <s v="Female"/>
    <d v="2032-09-11T00:00:00"/>
    <n v="2831"/>
    <n v="37"/>
    <n v="1.3100000000000001E-2"/>
    <n v="1.3069586718474038E-2"/>
    <x v="0"/>
    <n v="21"/>
    <n v="59451"/>
    <s v="EUR"/>
    <x v="4"/>
    <x v="1"/>
    <n v="0.2"/>
    <x v="1"/>
    <s v="Mauv"/>
  </r>
  <r>
    <n v="641743385"/>
    <s v="Semih"/>
    <s v="Male"/>
    <d v="2030-03-03T00:00:00"/>
    <n v="1159"/>
    <n v="28"/>
    <n v="2.4199999999999999E-2"/>
    <n v="2.4158757549611734E-2"/>
    <x v="0"/>
    <n v="33"/>
    <n v="38247"/>
    <s v="EUR"/>
    <x v="5"/>
    <x v="0"/>
    <n v="0.2"/>
    <x v="1"/>
    <s v="Red"/>
  </r>
  <r>
    <n v="850697994"/>
    <s v="Sevcan"/>
    <s v="Female"/>
    <d v="2030-05-19T00:00:00"/>
    <n v="1594"/>
    <n v="15"/>
    <n v="9.4000000000000004E-3"/>
    <n v="9.4102885821831864E-3"/>
    <x v="1"/>
    <n v="22"/>
    <n v="35068"/>
    <s v="EUR"/>
    <x v="6"/>
    <x v="2"/>
    <n v="0.2"/>
    <x v="0"/>
    <s v="Violet"/>
  </r>
  <r>
    <n v="688884610"/>
    <s v="Sevtap"/>
    <s v="Female"/>
    <d v="2031-11-20T00:00:00"/>
    <n v="4146"/>
    <n v="39"/>
    <n v="9.4000000000000004E-3"/>
    <n v="9.4066570188133143E-3"/>
    <x v="0"/>
    <n v="22"/>
    <n v="91212"/>
    <s v="EUR"/>
    <x v="6"/>
    <x v="8"/>
    <n v="0.2"/>
    <x v="0"/>
    <s v="Purple"/>
  </r>
  <r>
    <n v="547557786"/>
    <s v="Kemal"/>
    <s v="Male"/>
    <d v="2030-08-24T00:00:00"/>
    <n v="3008"/>
    <n v="19"/>
    <n v="6.3E-3"/>
    <n v="6.3164893617021272E-3"/>
    <x v="0"/>
    <n v="22"/>
    <n v="66176"/>
    <s v="EUR"/>
    <x v="7"/>
    <x v="8"/>
    <n v="0.2"/>
    <x v="0"/>
    <s v="Fuscia"/>
  </r>
  <r>
    <n v="708403838"/>
    <s v="Resul"/>
    <s v="Male"/>
    <d v="2032-12-16T00:00:00"/>
    <n v="2832"/>
    <n v="40"/>
    <n v="1.41E-2"/>
    <n v="1.4124293785310734E-2"/>
    <x v="0"/>
    <n v="20"/>
    <n v="56640"/>
    <s v="EUR"/>
    <x v="8"/>
    <x v="10"/>
    <n v="0.2"/>
    <x v="1"/>
    <s v="Goldenrod"/>
  </r>
  <r>
    <n v="605589590"/>
    <s v="Beşir"/>
    <s v="Male"/>
    <d v="2032-07-15T00:00:00"/>
    <n v="1662"/>
    <n v="27"/>
    <n v="1.6199999999999999E-2"/>
    <n v="1.6245487364620937E-2"/>
    <x v="0"/>
    <n v="41"/>
    <n v="68142"/>
    <s v="EUR"/>
    <x v="9"/>
    <x v="3"/>
    <n v="0.2"/>
    <x v="0"/>
    <s v="Mauv"/>
  </r>
  <r>
    <n v="626668653"/>
    <s v="Yusuf"/>
    <s v="Male"/>
    <d v="2030-11-14T00:00:00"/>
    <n v="4624"/>
    <n v="25"/>
    <n v="5.4000000000000003E-3"/>
    <n v="5.4065743944636674E-3"/>
    <x v="0"/>
    <n v="47"/>
    <n v="217328"/>
    <s v="EUR"/>
    <x v="10"/>
    <x v="9"/>
    <n v="0.2"/>
    <x v="0"/>
    <s v="Fuscia"/>
  </r>
  <r>
    <n v="630499851"/>
    <s v="Soner"/>
    <s v="Male"/>
    <d v="2032-03-26T00:00:00"/>
    <n v="4533"/>
    <n v="33"/>
    <n v="7.3000000000000001E-3"/>
    <n v="7.2799470549305099E-3"/>
    <x v="0"/>
    <n v="22"/>
    <n v="99726"/>
    <s v="EUR"/>
    <x v="11"/>
    <x v="0"/>
    <n v="0.2"/>
    <x v="1"/>
    <s v="Fuscia"/>
  </r>
  <r>
    <n v="544775843"/>
    <s v="Ali"/>
    <s v="Male"/>
    <d v="2030-07-17T00:00:00"/>
    <n v="1126"/>
    <n v="39"/>
    <n v="3.4599999999999999E-2"/>
    <n v="3.4635879218472471E-2"/>
    <x v="0"/>
    <n v="50"/>
    <n v="56300"/>
    <s v="EUR"/>
    <x v="12"/>
    <x v="9"/>
    <n v="0.2"/>
    <x v="1"/>
    <s v="Khaki"/>
  </r>
  <r>
    <n v="262973964"/>
    <s v="Hasan"/>
    <s v="Male"/>
    <d v="2031-12-08T00:00:00"/>
    <n v="2624"/>
    <n v="31"/>
    <n v="1.18E-2"/>
    <n v="1.1814024390243903E-2"/>
    <x v="0"/>
    <n v="31"/>
    <n v="81344"/>
    <s v="EUR"/>
    <x v="13"/>
    <x v="8"/>
    <n v="0.2"/>
    <x v="1"/>
    <s v="Maroon"/>
  </r>
  <r>
    <n v="196246777"/>
    <s v="Hüseyin"/>
    <s v="Male"/>
    <d v="2032-03-21T00:00:00"/>
    <n v="3709"/>
    <n v="50"/>
    <n v="1.35E-2"/>
    <n v="1.3480722566729577E-2"/>
    <x v="0"/>
    <n v="38"/>
    <n v="140942"/>
    <s v="EUR"/>
    <x v="14"/>
    <x v="2"/>
    <n v="0.2"/>
    <x v="0"/>
    <s v="Teal"/>
  </r>
  <r>
    <n v="149586616"/>
    <s v="Canan"/>
    <s v="Female"/>
    <d v="2032-09-09T00:00:00"/>
    <n v="1851"/>
    <n v="26"/>
    <n v="1.4E-2"/>
    <n v="1.4046461372231226E-2"/>
    <x v="0"/>
    <n v="34"/>
    <n v="62934"/>
    <s v="EUR"/>
    <x v="0"/>
    <x v="9"/>
    <n v="0.2"/>
    <x v="0"/>
    <s v="Blue"/>
  </r>
  <r>
    <n v="692268099"/>
    <s v="Cansu"/>
    <s v="Female"/>
    <d v="2032-11-03T00:00:00"/>
    <n v="3739"/>
    <n v="25"/>
    <n v="6.7000000000000002E-3"/>
    <n v="6.6862797539449055E-3"/>
    <x v="0"/>
    <n v="39"/>
    <n v="145821"/>
    <s v="EUR"/>
    <x v="1"/>
    <x v="3"/>
    <n v="0.2"/>
    <x v="0"/>
    <s v="Puce"/>
  </r>
  <r>
    <n v="462621179"/>
    <s v="Kenan"/>
    <s v="Male"/>
    <d v="2031-01-18T00:00:00"/>
    <n v="2332"/>
    <n v="30"/>
    <n v="1.29E-2"/>
    <n v="1.2864493996569469E-2"/>
    <x v="0"/>
    <n v="36"/>
    <n v="83952"/>
    <s v="EUR"/>
    <x v="2"/>
    <x v="2"/>
    <n v="0.2"/>
    <x v="1"/>
    <s v="Green"/>
  </r>
  <r>
    <n v="80702838"/>
    <s v="Mirza"/>
    <s v="Male"/>
    <d v="2031-11-18T00:00:00"/>
    <n v="3125"/>
    <n v="46"/>
    <n v="1.47E-2"/>
    <n v="1.472E-2"/>
    <x v="0"/>
    <n v="26"/>
    <n v="81250"/>
    <s v="EUR"/>
    <x v="3"/>
    <x v="4"/>
    <n v="0.2"/>
    <x v="1"/>
    <s v="Fuscia"/>
  </r>
  <r>
    <n v="649940512"/>
    <s v="Ebrar"/>
    <s v="Female"/>
    <d v="2031-08-04T00:00:00"/>
    <n v="2322"/>
    <n v="43"/>
    <n v="1.8499999999999999E-2"/>
    <n v="1.8518518518518517E-2"/>
    <x v="0"/>
    <n v="37"/>
    <n v="85914"/>
    <s v="EUR"/>
    <x v="4"/>
    <x v="4"/>
    <n v="0.2"/>
    <x v="0"/>
    <s v="Crimson"/>
  </r>
  <r>
    <n v="298790729"/>
    <s v="Semih"/>
    <s v="Male"/>
    <d v="2032-06-12T00:00:00"/>
    <n v="4778"/>
    <n v="25"/>
    <n v="5.1999999999999998E-3"/>
    <n v="5.232314776056928E-3"/>
    <x v="0"/>
    <n v="27"/>
    <n v="129006"/>
    <s v="EUR"/>
    <x v="5"/>
    <x v="7"/>
    <n v="0.2"/>
    <x v="1"/>
    <s v="Mauv"/>
  </r>
  <r>
    <n v="815921135"/>
    <s v="Sevcan"/>
    <s v="Female"/>
    <d v="2032-04-08T00:00:00"/>
    <n v="1902"/>
    <n v="41"/>
    <n v="2.1600000000000001E-2"/>
    <n v="2.1556256572029444E-2"/>
    <x v="0"/>
    <n v="47"/>
    <n v="89394"/>
    <s v="EUR"/>
    <x v="6"/>
    <x v="10"/>
    <n v="0.2"/>
    <x v="1"/>
    <s v="Yellow"/>
  </r>
  <r>
    <n v="664758955"/>
    <s v="Sevtap"/>
    <s v="Female"/>
    <d v="2030-04-27T00:00:00"/>
    <n v="4097"/>
    <n v="27"/>
    <n v="6.6E-3"/>
    <n v="6.5901879423968758E-3"/>
    <x v="0"/>
    <n v="44"/>
    <n v="180268"/>
    <s v="EUR"/>
    <x v="6"/>
    <x v="6"/>
    <n v="0.2"/>
    <x v="1"/>
    <s v="Crimson"/>
  </r>
  <r>
    <n v="767685395"/>
    <s v="Kemal"/>
    <s v="Male"/>
    <d v="2030-04-13T00:00:00"/>
    <n v="4890"/>
    <n v="36"/>
    <n v="7.4000000000000003E-3"/>
    <n v="7.3619631901840491E-3"/>
    <x v="0"/>
    <n v="45"/>
    <n v="220050"/>
    <s v="EUR"/>
    <x v="7"/>
    <x v="5"/>
    <n v="0.2"/>
    <x v="0"/>
    <s v="Pink"/>
  </r>
  <r>
    <n v="300921066"/>
    <s v="Resul"/>
    <s v="Male"/>
    <d v="2031-07-12T00:00:00"/>
    <n v="2091"/>
    <n v="45"/>
    <n v="2.1499999999999998E-2"/>
    <n v="2.1520803443328552E-2"/>
    <x v="0"/>
    <n v="32"/>
    <n v="66912"/>
    <s v="EUR"/>
    <x v="8"/>
    <x v="4"/>
    <n v="0.2"/>
    <x v="0"/>
    <s v="Purple"/>
  </r>
  <r>
    <n v="374236235"/>
    <s v="Beşir"/>
    <s v="Male"/>
    <d v="2032-01-22T00:00:00"/>
    <n v="1393"/>
    <n v="41"/>
    <n v="2.9399999999999999E-2"/>
    <n v="2.9432878679109833E-2"/>
    <x v="0"/>
    <n v="23"/>
    <n v="32039"/>
    <s v="EUR"/>
    <x v="9"/>
    <x v="9"/>
    <n v="0.2"/>
    <x v="1"/>
    <s v="Red"/>
  </r>
  <r>
    <n v="27927688"/>
    <s v="Yusuf"/>
    <s v="Male"/>
    <d v="2030-07-16T00:00:00"/>
    <n v="3209"/>
    <n v="10"/>
    <n v="3.0999999999999999E-3"/>
    <n v="3.1162355874104083E-3"/>
    <x v="0"/>
    <n v="27"/>
    <n v="86643"/>
    <s v="EUR"/>
    <x v="10"/>
    <x v="8"/>
    <n v="0.2"/>
    <x v="1"/>
    <s v="Green"/>
  </r>
  <r>
    <n v="258447172"/>
    <s v="Soner"/>
    <s v="Male"/>
    <d v="2032-11-08T00:00:00"/>
    <n v="4500"/>
    <n v="22"/>
    <n v="4.8999999999999998E-3"/>
    <n v="4.8888888888888888E-3"/>
    <x v="0"/>
    <n v="40"/>
    <n v="180000"/>
    <s v="EUR"/>
    <x v="11"/>
    <x v="9"/>
    <n v="0.2"/>
    <x v="1"/>
    <s v="Green"/>
  </r>
  <r>
    <n v="119038291"/>
    <s v="Ali"/>
    <s v="Male"/>
    <d v="2032-07-05T00:00:00"/>
    <n v="4309"/>
    <n v="18"/>
    <n v="4.1999999999999997E-3"/>
    <n v="4.1773033186354143E-3"/>
    <x v="0"/>
    <n v="20"/>
    <n v="86180"/>
    <s v="EUR"/>
    <x v="12"/>
    <x v="5"/>
    <n v="0.2"/>
    <x v="1"/>
    <s v="Purple"/>
  </r>
  <r>
    <n v="973956056"/>
    <s v="Hasan"/>
    <s v="Male"/>
    <d v="2031-01-08T00:00:00"/>
    <n v="2433"/>
    <n v="36"/>
    <n v="1.4800000000000001E-2"/>
    <n v="1.4796547472256474E-2"/>
    <x v="0"/>
    <n v="41"/>
    <n v="99753"/>
    <s v="EUR"/>
    <x v="13"/>
    <x v="2"/>
    <n v="0.2"/>
    <x v="1"/>
    <s v="Yellow"/>
  </r>
  <r>
    <n v="766508716"/>
    <s v="Hüseyin"/>
    <s v="Male"/>
    <d v="2032-01-22T00:00:00"/>
    <n v="4707"/>
    <n v="44"/>
    <n v="9.2999999999999992E-3"/>
    <n v="9.3477799022732098E-3"/>
    <x v="0"/>
    <n v="27"/>
    <n v="127089"/>
    <s v="EUR"/>
    <x v="14"/>
    <x v="8"/>
    <n v="0.2"/>
    <x v="1"/>
    <s v="Puce"/>
  </r>
  <r>
    <n v="371197510"/>
    <s v="Canan"/>
    <s v="Female"/>
    <d v="2032-04-21T00:00:00"/>
    <n v="1417"/>
    <n v="43"/>
    <n v="3.0300000000000001E-2"/>
    <n v="3.0345800988002825E-2"/>
    <x v="0"/>
    <n v="48"/>
    <n v="68016"/>
    <s v="EUR"/>
    <x v="0"/>
    <x v="3"/>
    <n v="0.2"/>
    <x v="0"/>
    <s v="Red"/>
  </r>
  <r>
    <n v="924067028"/>
    <s v="Cansu"/>
    <s v="Female"/>
    <d v="2032-10-05T00:00:00"/>
    <n v="3631"/>
    <n v="27"/>
    <n v="7.4000000000000003E-3"/>
    <n v="7.4359680528779948E-3"/>
    <x v="0"/>
    <n v="23"/>
    <n v="83513"/>
    <s v="EUR"/>
    <x v="1"/>
    <x v="5"/>
    <n v="0.2"/>
    <x v="1"/>
    <s v="Khaki"/>
  </r>
  <r>
    <n v="693093102"/>
    <s v="Kenan"/>
    <s v="Male"/>
    <d v="2030-06-30T00:00:00"/>
    <n v="1253"/>
    <n v="50"/>
    <n v="3.9899999999999998E-2"/>
    <n v="3.9904229848363927E-2"/>
    <x v="0"/>
    <n v="34"/>
    <n v="42602"/>
    <s v="EUR"/>
    <x v="2"/>
    <x v="9"/>
    <n v="0.2"/>
    <x v="1"/>
    <s v="Blue"/>
  </r>
  <r>
    <n v="595484877"/>
    <s v="Mirza"/>
    <s v="Male"/>
    <d v="2030-12-08T00:00:00"/>
    <n v="1370"/>
    <n v="15"/>
    <n v="1.09E-2"/>
    <n v="1.0948905109489052E-2"/>
    <x v="0"/>
    <n v="24"/>
    <n v="32880"/>
    <s v="EUR"/>
    <x v="3"/>
    <x v="8"/>
    <n v="0.2"/>
    <x v="1"/>
    <s v="Mauv"/>
  </r>
  <r>
    <n v="263757086"/>
    <s v="Ebrar"/>
    <s v="Female"/>
    <d v="2031-05-17T00:00:00"/>
    <n v="2671"/>
    <n v="30"/>
    <n v="1.12E-2"/>
    <n v="1.1231748408835642E-2"/>
    <x v="0"/>
    <n v="37"/>
    <n v="98827"/>
    <s v="EUR"/>
    <x v="4"/>
    <x v="7"/>
    <n v="0.2"/>
    <x v="1"/>
    <s v="Mauv"/>
  </r>
  <r>
    <n v="515710242"/>
    <s v="Semih"/>
    <s v="Male"/>
    <d v="2030-09-26T00:00:00"/>
    <n v="1421"/>
    <n v="10"/>
    <n v="7.0000000000000001E-3"/>
    <n v="7.0372976776917661E-3"/>
    <x v="0"/>
    <n v="33"/>
    <n v="46893"/>
    <s v="EUR"/>
    <x v="5"/>
    <x v="3"/>
    <n v="0.2"/>
    <x v="1"/>
    <s v="Green"/>
  </r>
  <r>
    <n v="834263333"/>
    <s v="Sevcan"/>
    <s v="Female"/>
    <d v="2031-11-19T00:00:00"/>
    <n v="1504"/>
    <n v="27"/>
    <n v="1.7999999999999999E-2"/>
    <n v="1.795212765957447E-2"/>
    <x v="0"/>
    <n v="43"/>
    <n v="64672"/>
    <s v="EUR"/>
    <x v="6"/>
    <x v="5"/>
    <n v="0.2"/>
    <x v="1"/>
    <s v="Indigo"/>
  </r>
  <r>
    <n v="470906401"/>
    <s v="Sevtap"/>
    <s v="Female"/>
    <d v="2031-12-12T00:00:00"/>
    <n v="1870"/>
    <n v="30"/>
    <n v="1.6E-2"/>
    <n v="1.6042780748663103E-2"/>
    <x v="0"/>
    <n v="34"/>
    <n v="63580"/>
    <s v="EUR"/>
    <x v="6"/>
    <x v="2"/>
    <n v="0.2"/>
    <x v="0"/>
    <s v="Yellow"/>
  </r>
  <r>
    <n v="492420489"/>
    <s v="Kemal"/>
    <s v="Male"/>
    <d v="2032-09-27T00:00:00"/>
    <n v="2866"/>
    <n v="13"/>
    <n v="4.4999999999999997E-3"/>
    <n v="4.5359385903698535E-3"/>
    <x v="0"/>
    <n v="24"/>
    <n v="68784"/>
    <s v="EUR"/>
    <x v="7"/>
    <x v="2"/>
    <n v="0.2"/>
    <x v="0"/>
    <s v="Turquoise"/>
  </r>
  <r>
    <n v="167553177"/>
    <s v="Resul"/>
    <s v="Male"/>
    <d v="2030-06-09T00:00:00"/>
    <n v="3507"/>
    <n v="29"/>
    <n v="8.3000000000000001E-3"/>
    <n v="8.2691759338465922E-3"/>
    <x v="0"/>
    <n v="42"/>
    <n v="147294"/>
    <s v="EUR"/>
    <x v="8"/>
    <x v="5"/>
    <n v="0.2"/>
    <x v="0"/>
    <s v="Mauv"/>
  </r>
  <r>
    <n v="652259052"/>
    <s v="Resul"/>
    <s v="Male"/>
    <d v="2031-02-15T00:00:00"/>
    <n v="1808"/>
    <n v="49"/>
    <n v="2.7099999999999999E-2"/>
    <n v="2.7101769911504425E-2"/>
    <x v="0"/>
    <n v="36"/>
    <n v="65088"/>
    <s v="EUR"/>
    <x v="9"/>
    <x v="10"/>
    <n v="0.2"/>
    <x v="1"/>
    <s v="Teal"/>
  </r>
  <r>
    <n v="71087341"/>
    <s v="Beşir"/>
    <s v="Male"/>
    <d v="2030-02-26T00:00:00"/>
    <n v="2566"/>
    <n v="25"/>
    <n v="9.7000000000000003E-3"/>
    <n v="9.7427903351519872E-3"/>
    <x v="0"/>
    <n v="26"/>
    <n v="66716"/>
    <s v="EUR"/>
    <x v="10"/>
    <x v="3"/>
    <n v="0.2"/>
    <x v="1"/>
    <s v="Crimson"/>
  </r>
  <r>
    <n v="20050724"/>
    <s v="Yusuf"/>
    <s v="Male"/>
    <d v="2032-05-17T00:00:00"/>
    <n v="2017"/>
    <n v="49"/>
    <n v="2.4299999999999999E-2"/>
    <n v="2.4293505205751114E-2"/>
    <x v="0"/>
    <n v="44"/>
    <n v="88748"/>
    <s v="EUR"/>
    <x v="11"/>
    <x v="5"/>
    <n v="0.2"/>
    <x v="1"/>
    <s v="Goldenrod"/>
  </r>
  <r>
    <n v="909416600"/>
    <s v="Soner"/>
    <s v="Male"/>
    <d v="2032-07-11T00:00:00"/>
    <n v="1208"/>
    <n v="35"/>
    <n v="2.9000000000000001E-2"/>
    <n v="2.8973509933774833E-2"/>
    <x v="1"/>
    <n v="34"/>
    <n v="41072"/>
    <s v="EUR"/>
    <x v="12"/>
    <x v="9"/>
    <n v="0.2"/>
    <x v="0"/>
    <s v="Turquoise"/>
  </r>
  <r>
    <n v="669131878"/>
    <s v="Ali"/>
    <s v="Male"/>
    <d v="2030-03-22T00:00:00"/>
    <n v="1710"/>
    <n v="45"/>
    <n v="2.63E-2"/>
    <n v="2.6315789473684209E-2"/>
    <x v="0"/>
    <n v="45"/>
    <n v="76950"/>
    <s v="EUR"/>
    <x v="13"/>
    <x v="5"/>
    <n v="0.2"/>
    <x v="1"/>
    <s v="Purple"/>
  </r>
  <r>
    <n v="753259144"/>
    <s v="Hasan"/>
    <s v="Male"/>
    <d v="2032-01-02T00:00:00"/>
    <n v="3800"/>
    <n v="40"/>
    <n v="1.0500000000000001E-2"/>
    <n v="1.0526315789473684E-2"/>
    <x v="0"/>
    <n v="21"/>
    <n v="79800"/>
    <s v="EUR"/>
    <x v="14"/>
    <x v="10"/>
    <n v="0.2"/>
    <x v="0"/>
    <s v="Teal"/>
  </r>
  <r>
    <n v="453683244"/>
    <s v="Hüseyin"/>
    <s v="Male"/>
    <d v="2031-02-04T00:00:00"/>
    <n v="2881"/>
    <n v="35"/>
    <n v="1.21E-2"/>
    <n v="1.2148559527941687E-2"/>
    <x v="0"/>
    <n v="49"/>
    <n v="141169"/>
    <s v="EUR"/>
    <x v="0"/>
    <x v="0"/>
    <n v="0.2"/>
    <x v="0"/>
    <s v="Goldenrod"/>
  </r>
  <r>
    <n v="271994584"/>
    <s v="Canan"/>
    <s v="Female"/>
    <d v="2030-06-23T00:00:00"/>
    <n v="4274"/>
    <n v="41"/>
    <n v="9.5999999999999992E-3"/>
    <n v="9.5928872250818902E-3"/>
    <x v="0"/>
    <n v="27"/>
    <n v="115398"/>
    <s v="EUR"/>
    <x v="1"/>
    <x v="9"/>
    <n v="0.2"/>
    <x v="0"/>
    <s v="Red"/>
  </r>
  <r>
    <n v="199244562"/>
    <s v="Cansu"/>
    <s v="Female"/>
    <d v="2032-01-05T00:00:00"/>
    <n v="1385"/>
    <n v="25"/>
    <n v="1.8100000000000002E-2"/>
    <n v="1.8050541516245487E-2"/>
    <x v="0"/>
    <n v="32"/>
    <n v="44320"/>
    <s v="EUR"/>
    <x v="2"/>
    <x v="4"/>
    <n v="0.2"/>
    <x v="0"/>
    <s v="Green"/>
  </r>
  <r>
    <n v="40639473"/>
    <s v="Kenan"/>
    <s v="Male"/>
    <d v="2030-10-09T00:00:00"/>
    <n v="2164"/>
    <n v="27"/>
    <n v="1.2500000000000001E-2"/>
    <n v="1.2476894639556377E-2"/>
    <x v="1"/>
    <n v="46"/>
    <n v="99544"/>
    <s v="EUR"/>
    <x v="3"/>
    <x v="1"/>
    <n v="0.2"/>
    <x v="1"/>
    <s v="Teal"/>
  </r>
  <r>
    <n v="950125762"/>
    <s v="Mirza"/>
    <s v="Male"/>
    <d v="2032-08-06T00:00:00"/>
    <n v="2869"/>
    <n v="21"/>
    <n v="7.3000000000000001E-3"/>
    <n v="7.3196235622168E-3"/>
    <x v="0"/>
    <n v="23"/>
    <n v="65987"/>
    <s v="EUR"/>
    <x v="4"/>
    <x v="1"/>
    <n v="0.2"/>
    <x v="0"/>
    <s v="Teal"/>
  </r>
  <r>
    <n v="828770349"/>
    <s v="Ebrar"/>
    <s v="Female"/>
    <d v="2031-12-12T00:00:00"/>
    <n v="3338"/>
    <n v="28"/>
    <n v="8.3999999999999995E-3"/>
    <n v="8.3882564409826239E-3"/>
    <x v="0"/>
    <n v="43"/>
    <n v="143534"/>
    <s v="EUR"/>
    <x v="5"/>
    <x v="1"/>
    <n v="0.2"/>
    <x v="1"/>
    <s v="Blue"/>
  </r>
  <r>
    <n v="605576136"/>
    <s v="Semih"/>
    <s v="Male"/>
    <d v="2032-05-03T00:00:00"/>
    <n v="2047"/>
    <n v="22"/>
    <n v="1.0699999999999999E-2"/>
    <n v="1.074743527112848E-2"/>
    <x v="0"/>
    <n v="37"/>
    <n v="75739"/>
    <s v="EUR"/>
    <x v="6"/>
    <x v="9"/>
    <n v="0.2"/>
    <x v="1"/>
    <s v="Pink"/>
  </r>
  <r>
    <n v="763252820"/>
    <s v="Sevcan"/>
    <s v="Female"/>
    <d v="2031-06-16T00:00:00"/>
    <n v="3074"/>
    <n v="11"/>
    <n v="3.5999999999999999E-3"/>
    <n v="3.5783994795055302E-3"/>
    <x v="0"/>
    <n v="49"/>
    <n v="150626"/>
    <s v="EUR"/>
    <x v="6"/>
    <x v="6"/>
    <n v="0.2"/>
    <x v="0"/>
    <s v="Red"/>
  </r>
  <r>
    <n v="582878971"/>
    <s v="Sevtap"/>
    <s v="Female"/>
    <d v="2030-06-24T00:00:00"/>
    <n v="3645"/>
    <n v="49"/>
    <n v="1.34E-2"/>
    <n v="1.3443072702331962E-2"/>
    <x v="0"/>
    <n v="27"/>
    <n v="98415"/>
    <s v="EUR"/>
    <x v="7"/>
    <x v="6"/>
    <n v="0.2"/>
    <x v="1"/>
    <s v="Fuscia"/>
  </r>
  <r>
    <n v="833262378"/>
    <s v="Kemal"/>
    <s v="Male"/>
    <d v="2030-05-03T00:00:00"/>
    <n v="1306"/>
    <n v="24"/>
    <n v="1.84E-2"/>
    <n v="1.8376722817764167E-2"/>
    <x v="0"/>
    <n v="47"/>
    <n v="61382"/>
    <s v="EUR"/>
    <x v="8"/>
    <x v="2"/>
    <n v="0.2"/>
    <x v="0"/>
    <s v="Yellow"/>
  </r>
  <r>
    <n v="134641486"/>
    <s v="Resul"/>
    <s v="Male"/>
    <d v="2032-01-23T00:00:00"/>
    <n v="3946"/>
    <n v="49"/>
    <n v="1.24E-2"/>
    <n v="1.2417638114546376E-2"/>
    <x v="1"/>
    <n v="37"/>
    <n v="146002"/>
    <s v="EUR"/>
    <x v="9"/>
    <x v="2"/>
    <n v="0.2"/>
    <x v="0"/>
    <s v="Pink"/>
  </r>
  <r>
    <n v="573938383"/>
    <s v="Hüseyin"/>
    <s v="Male"/>
    <d v="2032-04-04T00:00:00"/>
    <n v="3536"/>
    <n v="13"/>
    <n v="3.7000000000000002E-3"/>
    <n v="3.6764705882352941E-3"/>
    <x v="0"/>
    <n v="25"/>
    <n v="88400"/>
    <s v="EUR"/>
    <x v="10"/>
    <x v="3"/>
    <n v="0.2"/>
    <x v="0"/>
    <s v="Fuscia"/>
  </r>
  <r>
    <n v="704740906"/>
    <s v="Canan"/>
    <s v="Female"/>
    <d v="2030-07-09T00:00:00"/>
    <n v="3722"/>
    <n v="17"/>
    <n v="4.5999999999999999E-3"/>
    <n v="4.5674368619022035E-3"/>
    <x v="1"/>
    <n v="34"/>
    <n v="126548"/>
    <s v="EUR"/>
    <x v="11"/>
    <x v="6"/>
    <n v="0.2"/>
    <x v="1"/>
    <s v="Crimson"/>
  </r>
  <r>
    <n v="336303704"/>
    <s v="Cansu"/>
    <s v="Female"/>
    <d v="2031-01-23T00:00:00"/>
    <n v="3038"/>
    <n v="40"/>
    <n v="1.32E-2"/>
    <n v="1.3166556945358789E-2"/>
    <x v="0"/>
    <n v="22"/>
    <n v="66836"/>
    <s v="EUR"/>
    <x v="12"/>
    <x v="6"/>
    <n v="0.2"/>
    <x v="1"/>
    <s v="Orange"/>
  </r>
  <r>
    <n v="415317580"/>
    <s v="Kenan"/>
    <s v="Male"/>
    <d v="2032-12-24T00:00:00"/>
    <n v="4320"/>
    <n v="41"/>
    <n v="9.4999999999999998E-3"/>
    <n v="9.4907407407407406E-3"/>
    <x v="0"/>
    <n v="27"/>
    <n v="116640"/>
    <s v="EUR"/>
    <x v="13"/>
    <x v="10"/>
    <n v="0.2"/>
    <x v="0"/>
    <s v="Orange"/>
  </r>
  <r>
    <n v="540091878"/>
    <s v="Mirza"/>
    <s v="Male"/>
    <d v="2031-04-25T00:00:00"/>
    <n v="4344"/>
    <n v="19"/>
    <n v="4.4000000000000003E-3"/>
    <n v="4.3738489871086557E-3"/>
    <x v="1"/>
    <n v="39"/>
    <n v="169416"/>
    <s v="EUR"/>
    <x v="14"/>
    <x v="3"/>
    <n v="0.2"/>
    <x v="0"/>
    <s v="Crimson"/>
  </r>
  <r>
    <n v="767146035"/>
    <s v="Ebrar"/>
    <s v="Female"/>
    <d v="2032-09-19T00:00:00"/>
    <n v="2624"/>
    <n v="12"/>
    <n v="4.5999999999999999E-3"/>
    <n v="4.5731707317073168E-3"/>
    <x v="0"/>
    <n v="42"/>
    <n v="110208"/>
    <s v="EUR"/>
    <x v="0"/>
    <x v="8"/>
    <n v="0.2"/>
    <x v="1"/>
    <s v="Fuscia"/>
  </r>
  <r>
    <n v="358207349"/>
    <s v="Semih"/>
    <s v="Male"/>
    <d v="2030-09-19T00:00:00"/>
    <n v="2889"/>
    <n v="36"/>
    <n v="1.2500000000000001E-2"/>
    <n v="1.2461059190031152E-2"/>
    <x v="0"/>
    <n v="49"/>
    <n v="141561"/>
    <s v="EUR"/>
    <x v="1"/>
    <x v="10"/>
    <n v="0.2"/>
    <x v="1"/>
    <s v="Mauv"/>
  </r>
  <r>
    <n v="75333749"/>
    <s v="Sevcan"/>
    <s v="Female"/>
    <d v="2032-12-22T00:00:00"/>
    <n v="2863"/>
    <n v="39"/>
    <n v="1.3599999999999999E-2"/>
    <n v="1.3622074746769124E-2"/>
    <x v="0"/>
    <n v="22"/>
    <n v="62986"/>
    <s v="EUR"/>
    <x v="2"/>
    <x v="10"/>
    <n v="0.2"/>
    <x v="1"/>
    <s v="Fuscia"/>
  </r>
  <r>
    <n v="156056164"/>
    <s v="Sevtap"/>
    <s v="Female"/>
    <d v="2030-09-25T00:00:00"/>
    <n v="1846"/>
    <n v="41"/>
    <n v="2.2200000000000001E-2"/>
    <n v="2.2210184182015168E-2"/>
    <x v="0"/>
    <n v="41"/>
    <n v="75686"/>
    <s v="EUR"/>
    <x v="3"/>
    <x v="10"/>
    <n v="0.2"/>
    <x v="0"/>
    <s v="Yellow"/>
  </r>
  <r>
    <n v="811587084"/>
    <s v="Kemal"/>
    <s v="Male"/>
    <d v="2030-06-01T00:00:00"/>
    <n v="3266"/>
    <n v="36"/>
    <n v="1.0999999999999999E-2"/>
    <n v="1.1022657685241886E-2"/>
    <x v="1"/>
    <n v="24"/>
    <n v="78384"/>
    <s v="EUR"/>
    <x v="4"/>
    <x v="10"/>
    <n v="0.2"/>
    <x v="1"/>
    <s v="Indigo"/>
  </r>
  <r>
    <n v="587479895"/>
    <s v="Resul"/>
    <s v="Male"/>
    <d v="2032-03-21T00:00:00"/>
    <n v="4907"/>
    <n v="21"/>
    <n v="4.3E-3"/>
    <n v="4.2796005706134095E-3"/>
    <x v="0"/>
    <n v="36"/>
    <n v="176652"/>
    <s v="EUR"/>
    <x v="5"/>
    <x v="7"/>
    <n v="0.2"/>
    <x v="1"/>
    <s v="Maroon"/>
  </r>
  <r>
    <n v="627584630"/>
    <s v="Beşir"/>
    <s v="Male"/>
    <d v="2032-08-22T00:00:00"/>
    <n v="2812"/>
    <n v="29"/>
    <n v="1.03E-2"/>
    <n v="1.0312944523470839E-2"/>
    <x v="0"/>
    <n v="32"/>
    <n v="89984"/>
    <s v="EUR"/>
    <x v="6"/>
    <x v="2"/>
    <n v="0.2"/>
    <x v="0"/>
    <s v="Puce"/>
  </r>
  <r>
    <n v="167486552"/>
    <s v="Yusuf"/>
    <s v="Male"/>
    <d v="2032-01-14T00:00:00"/>
    <n v="4685"/>
    <n v="31"/>
    <n v="6.6E-3"/>
    <n v="6.6168623265741725E-3"/>
    <x v="1"/>
    <n v="44"/>
    <n v="206140"/>
    <s v="EUR"/>
    <x v="6"/>
    <x v="7"/>
    <n v="0.2"/>
    <x v="1"/>
    <s v="Pink"/>
  </r>
  <r>
    <n v="74502626"/>
    <s v="Soner"/>
    <s v="Male"/>
    <d v="2031-12-26T00:00:00"/>
    <n v="4920"/>
    <n v="33"/>
    <n v="6.7000000000000002E-3"/>
    <n v="6.7073170731707316E-3"/>
    <x v="0"/>
    <n v="33"/>
    <n v="162360"/>
    <s v="EUR"/>
    <x v="7"/>
    <x v="6"/>
    <n v="0.2"/>
    <x v="0"/>
    <s v="Red"/>
  </r>
  <r>
    <n v="710837851"/>
    <s v="Ali"/>
    <s v="Male"/>
    <d v="2030-11-21T00:00:00"/>
    <n v="3782"/>
    <n v="24"/>
    <n v="6.3E-3"/>
    <n v="6.345848757271285E-3"/>
    <x v="0"/>
    <n v="49"/>
    <n v="185318"/>
    <s v="EUR"/>
    <x v="8"/>
    <x v="5"/>
    <n v="0.2"/>
    <x v="1"/>
    <s v="Teal"/>
  </r>
  <r>
    <n v="74824113"/>
    <s v="Hasan"/>
    <s v="Male"/>
    <d v="2031-06-12T00:00:00"/>
    <n v="1142"/>
    <n v="23"/>
    <n v="2.01E-2"/>
    <n v="2.0140105078809107E-2"/>
    <x v="0"/>
    <n v="35"/>
    <n v="39970"/>
    <s v="EUR"/>
    <x v="9"/>
    <x v="4"/>
    <n v="0.2"/>
    <x v="0"/>
    <s v="Goldenrod"/>
  </r>
  <r>
    <n v="392853504"/>
    <s v="Hüseyin"/>
    <s v="Male"/>
    <d v="2030-05-17T00:00:00"/>
    <n v="3293"/>
    <n v="17"/>
    <n v="5.1999999999999998E-3"/>
    <n v="5.1624658366231403E-3"/>
    <x v="0"/>
    <n v="42"/>
    <n v="138306"/>
    <s v="EUR"/>
    <x v="10"/>
    <x v="7"/>
    <n v="0.2"/>
    <x v="0"/>
    <s v="Orange"/>
  </r>
  <r>
    <n v="703157153"/>
    <s v="Canan"/>
    <s v="Female"/>
    <d v="2031-02-07T00:00:00"/>
    <n v="4683"/>
    <n v="40"/>
    <n v="8.5000000000000006E-3"/>
    <n v="8.5415332052103353E-3"/>
    <x v="0"/>
    <n v="50"/>
    <n v="234150"/>
    <s v="EUR"/>
    <x v="11"/>
    <x v="0"/>
    <n v="0.2"/>
    <x v="1"/>
    <s v="Goldenrod"/>
  </r>
  <r>
    <n v="95318134"/>
    <s v="Cansu"/>
    <s v="Female"/>
    <d v="2032-05-26T00:00:00"/>
    <n v="4050"/>
    <n v="13"/>
    <n v="3.2000000000000002E-3"/>
    <n v="3.2098765432098763E-3"/>
    <x v="0"/>
    <n v="23"/>
    <n v="93150"/>
    <s v="EUR"/>
    <x v="12"/>
    <x v="7"/>
    <n v="0.2"/>
    <x v="0"/>
    <s v="Turquoise"/>
  </r>
  <r>
    <n v="210666394"/>
    <s v="Kenan"/>
    <s v="Male"/>
    <d v="2032-05-19T00:00:00"/>
    <n v="1535"/>
    <n v="12"/>
    <n v="7.7999999999999996E-3"/>
    <n v="7.8175895765472316E-3"/>
    <x v="0"/>
    <n v="34"/>
    <n v="52190"/>
    <s v="EUR"/>
    <x v="13"/>
    <x v="3"/>
    <n v="0.2"/>
    <x v="0"/>
    <s v="Purple"/>
  </r>
  <r>
    <n v="752199458"/>
    <s v="Mirza"/>
    <s v="Male"/>
    <d v="2032-12-14T00:00:00"/>
    <n v="4441"/>
    <n v="21"/>
    <n v="4.7000000000000002E-3"/>
    <n v="4.7286647151542445E-3"/>
    <x v="0"/>
    <n v="50"/>
    <n v="222050"/>
    <s v="EUR"/>
    <x v="14"/>
    <x v="2"/>
    <n v="0.2"/>
    <x v="1"/>
    <s v="Mauv"/>
  </r>
  <r>
    <n v="356955567"/>
    <s v="Ebrar"/>
    <s v="Female"/>
    <d v="2032-09-28T00:00:00"/>
    <n v="4464"/>
    <n v="24"/>
    <n v="5.4000000000000003E-3"/>
    <n v="5.3763440860215058E-3"/>
    <x v="0"/>
    <n v="20"/>
    <n v="89280"/>
    <s v="EUR"/>
    <x v="0"/>
    <x v="0"/>
    <n v="0.2"/>
    <x v="1"/>
    <s v="Puce"/>
  </r>
  <r>
    <n v="960616472"/>
    <s v="Semih"/>
    <s v="Male"/>
    <d v="2030-06-09T00:00:00"/>
    <n v="4061"/>
    <n v="41"/>
    <n v="1.01E-2"/>
    <n v="1.0096035459246491E-2"/>
    <x v="0"/>
    <n v="33"/>
    <n v="134013"/>
    <s v="EUR"/>
    <x v="1"/>
    <x v="5"/>
    <n v="0.2"/>
    <x v="0"/>
    <s v="Orange"/>
  </r>
  <r>
    <n v="746531583"/>
    <s v="Sevcan"/>
    <s v="Female"/>
    <d v="2032-12-30T00:00:00"/>
    <n v="3678"/>
    <n v="25"/>
    <n v="6.7999999999999996E-3"/>
    <n v="6.797172376291463E-3"/>
    <x v="0"/>
    <n v="49"/>
    <n v="180222"/>
    <s v="EUR"/>
    <x v="2"/>
    <x v="1"/>
    <n v="0.2"/>
    <x v="0"/>
    <s v="Turquoise"/>
  </r>
  <r>
    <n v="278103935"/>
    <s v="Sevtap"/>
    <s v="Female"/>
    <d v="2032-06-20T00:00:00"/>
    <n v="4203"/>
    <n v="34"/>
    <n v="8.0999999999999996E-3"/>
    <n v="8.0894599095883892E-3"/>
    <x v="0"/>
    <n v="38"/>
    <n v="159714"/>
    <s v="EUR"/>
    <x v="3"/>
    <x v="0"/>
    <n v="0.2"/>
    <x v="0"/>
    <s v="Crimson"/>
  </r>
  <r>
    <n v="468629234"/>
    <s v="Kemal"/>
    <s v="Male"/>
    <d v="2030-09-26T00:00:00"/>
    <n v="3486"/>
    <n v="25"/>
    <n v="7.1999999999999998E-3"/>
    <n v="7.1715433161216296E-3"/>
    <x v="0"/>
    <n v="31"/>
    <n v="108066"/>
    <s v="EUR"/>
    <x v="4"/>
    <x v="4"/>
    <n v="0.2"/>
    <x v="1"/>
    <s v="Purple"/>
  </r>
  <r>
    <n v="734343348"/>
    <s v="Resul"/>
    <s v="Male"/>
    <d v="2030-11-24T00:00:00"/>
    <n v="1692"/>
    <n v="23"/>
    <n v="1.3599999999999999E-2"/>
    <n v="1.3593380614657211E-2"/>
    <x v="0"/>
    <n v="28"/>
    <n v="47376"/>
    <s v="EUR"/>
    <x v="5"/>
    <x v="2"/>
    <n v="0.2"/>
    <x v="1"/>
    <s v="Purple"/>
  </r>
  <r>
    <n v="933093888"/>
    <s v="Beşir"/>
    <s v="Male"/>
    <d v="2032-10-12T00:00:00"/>
    <n v="2513"/>
    <n v="12"/>
    <n v="4.7999999999999996E-3"/>
    <n v="4.7751691205730204E-3"/>
    <x v="0"/>
    <n v="34"/>
    <n v="85442"/>
    <s v="EUR"/>
    <x v="6"/>
    <x v="0"/>
    <n v="0.2"/>
    <x v="1"/>
    <s v="Crimson"/>
  </r>
  <r>
    <n v="492507350"/>
    <s v="Yusuf"/>
    <s v="Male"/>
    <d v="2030-05-29T00:00:00"/>
    <n v="3126"/>
    <n v="26"/>
    <n v="8.3000000000000001E-3"/>
    <n v="8.3173384516954576E-3"/>
    <x v="0"/>
    <n v="43"/>
    <n v="134418"/>
    <s v="EUR"/>
    <x v="6"/>
    <x v="10"/>
    <n v="0.2"/>
    <x v="1"/>
    <s v="Crimson"/>
  </r>
  <r>
    <n v="290714739"/>
    <s v="Soner"/>
    <s v="Male"/>
    <d v="2030-05-17T00:00:00"/>
    <n v="3986"/>
    <n v="30"/>
    <n v="7.4999999999999997E-3"/>
    <n v="7.526342197691922E-3"/>
    <x v="0"/>
    <n v="48"/>
    <n v="191328"/>
    <s v="EUR"/>
    <x v="7"/>
    <x v="3"/>
    <n v="0.2"/>
    <x v="1"/>
    <s v="Fuscia"/>
  </r>
  <r>
    <n v="108463067"/>
    <s v="Ali"/>
    <s v="Male"/>
    <d v="2031-08-16T00:00:00"/>
    <n v="1424"/>
    <n v="39"/>
    <n v="2.7400000000000001E-2"/>
    <n v="2.7387640449438203E-2"/>
    <x v="0"/>
    <n v="36"/>
    <n v="51264"/>
    <s v="EUR"/>
    <x v="8"/>
    <x v="1"/>
    <n v="0.2"/>
    <x v="1"/>
    <s v="Yellow"/>
  </r>
  <r>
    <n v="905521854"/>
    <s v="Hasan"/>
    <s v="Male"/>
    <d v="2032-02-16T00:00:00"/>
    <n v="1915"/>
    <n v="21"/>
    <n v="1.0999999999999999E-2"/>
    <n v="1.0966057441253264E-2"/>
    <x v="0"/>
    <n v="40"/>
    <n v="76600"/>
    <s v="EUR"/>
    <x v="9"/>
    <x v="1"/>
    <n v="0.2"/>
    <x v="1"/>
    <s v="Blue"/>
  </r>
  <r>
    <n v="486592548"/>
    <s v="Hüseyin"/>
    <s v="Male"/>
    <d v="2032-10-19T00:00:00"/>
    <n v="3750"/>
    <n v="37"/>
    <n v="9.9000000000000008E-3"/>
    <n v="9.8666666666666659E-3"/>
    <x v="0"/>
    <n v="37"/>
    <n v="138750"/>
    <s v="EUR"/>
    <x v="10"/>
    <x v="7"/>
    <n v="0.2"/>
    <x v="0"/>
    <s v="Turquoise"/>
  </r>
  <r>
    <n v="63405809"/>
    <s v="Canan"/>
    <s v="Female"/>
    <d v="2030-07-27T00:00:00"/>
    <n v="1312"/>
    <n v="34"/>
    <n v="2.5899999999999999E-2"/>
    <n v="2.5914634146341462E-2"/>
    <x v="0"/>
    <n v="47"/>
    <n v="61664"/>
    <s v="EUR"/>
    <x v="11"/>
    <x v="5"/>
    <n v="0.2"/>
    <x v="1"/>
    <s v="Crimson"/>
  </r>
  <r>
    <n v="362928372"/>
    <s v="Cansu"/>
    <s v="Female"/>
    <d v="2031-03-22T00:00:00"/>
    <n v="3806"/>
    <n v="17"/>
    <n v="4.4999999999999997E-3"/>
    <n v="4.4666316342616922E-3"/>
    <x v="1"/>
    <n v="46"/>
    <n v="175076"/>
    <s v="EUR"/>
    <x v="12"/>
    <x v="8"/>
    <n v="0.2"/>
    <x v="0"/>
    <s v="Mauv"/>
  </r>
  <r>
    <n v="375323826"/>
    <s v="Kenan"/>
    <s v="Male"/>
    <d v="2031-04-12T00:00:00"/>
    <n v="4019"/>
    <n v="48"/>
    <n v="1.1900000000000001E-2"/>
    <n v="1.1943269470017417E-2"/>
    <x v="0"/>
    <n v="41"/>
    <n v="164779"/>
    <s v="EUR"/>
    <x v="13"/>
    <x v="2"/>
    <n v="0.2"/>
    <x v="0"/>
    <s v="Violet"/>
  </r>
  <r>
    <n v="48754793"/>
    <s v="Mirza"/>
    <s v="Male"/>
    <d v="2030-06-10T00:00:00"/>
    <n v="2892"/>
    <n v="27"/>
    <n v="9.2999999999999992E-3"/>
    <n v="9.3360995850622405E-3"/>
    <x v="0"/>
    <n v="23"/>
    <n v="66516"/>
    <s v="EUR"/>
    <x v="14"/>
    <x v="8"/>
    <n v="0.2"/>
    <x v="1"/>
    <s v="Indigo"/>
  </r>
  <r>
    <n v="680616963"/>
    <s v="Ebrar"/>
    <s v="Female"/>
    <d v="2031-04-02T00:00:00"/>
    <n v="2389"/>
    <n v="30"/>
    <n v="1.26E-2"/>
    <n v="1.2557555462536627E-2"/>
    <x v="0"/>
    <n v="26"/>
    <n v="62114"/>
    <s v="EUR"/>
    <x v="0"/>
    <x v="2"/>
    <n v="0.2"/>
    <x v="0"/>
    <s v="Violet"/>
  </r>
  <r>
    <n v="618391211"/>
    <s v="Semih"/>
    <s v="Male"/>
    <d v="2032-07-24T00:00:00"/>
    <n v="2418"/>
    <n v="10"/>
    <n v="4.1000000000000003E-3"/>
    <n v="4.1356492969396195E-3"/>
    <x v="0"/>
    <n v="48"/>
    <n v="116064"/>
    <s v="EUR"/>
    <x v="1"/>
    <x v="4"/>
    <n v="0.2"/>
    <x v="0"/>
    <s v="Teal"/>
  </r>
  <r>
    <n v="992790193"/>
    <s v="Sevcan"/>
    <s v="Female"/>
    <d v="2031-02-03T00:00:00"/>
    <n v="3857"/>
    <n v="29"/>
    <n v="7.4999999999999997E-3"/>
    <n v="7.5187969924812026E-3"/>
    <x v="4"/>
    <n v="36"/>
    <n v="138852"/>
    <s v="GBP"/>
    <x v="2"/>
    <x v="5"/>
    <n v="0.2"/>
    <x v="1"/>
    <s v="Turquoise"/>
  </r>
  <r>
    <n v="952982838"/>
    <s v="Sevtap"/>
    <s v="Female"/>
    <d v="2031-05-13T00:00:00"/>
    <n v="1013"/>
    <n v="14"/>
    <n v="1.38E-2"/>
    <n v="1.3820335636722606E-2"/>
    <x v="0"/>
    <n v="32"/>
    <n v="32416"/>
    <s v="EUR"/>
    <x v="3"/>
    <x v="7"/>
    <n v="0.2"/>
    <x v="0"/>
    <s v="Mauv"/>
  </r>
  <r>
    <n v="975762492"/>
    <s v="Kemal"/>
    <s v="Male"/>
    <d v="2030-01-22T00:00:00"/>
    <n v="2991"/>
    <n v="43"/>
    <n v="1.44E-2"/>
    <n v="1.4376462721497826E-2"/>
    <x v="0"/>
    <n v="43"/>
    <n v="128613"/>
    <s v="EUR"/>
    <x v="4"/>
    <x v="9"/>
    <n v="0.2"/>
    <x v="1"/>
    <s v="Turquoise"/>
  </r>
  <r>
    <n v="657702038"/>
    <s v="Resul"/>
    <s v="Male"/>
    <d v="2032-04-11T00:00:00"/>
    <n v="3394"/>
    <n v="42"/>
    <n v="1.24E-2"/>
    <n v="1.2374779021803181E-2"/>
    <x v="0"/>
    <n v="20"/>
    <n v="67880"/>
    <s v="EUR"/>
    <x v="5"/>
    <x v="1"/>
    <n v="0.2"/>
    <x v="0"/>
    <s v="Aquamarine"/>
  </r>
  <r>
    <n v="121144136"/>
    <s v="Hüseyin"/>
    <s v="Male"/>
    <d v="2032-04-26T00:00:00"/>
    <n v="1731"/>
    <n v="15"/>
    <n v="8.6999999999999994E-3"/>
    <n v="8.6655112651646445E-3"/>
    <x v="0"/>
    <n v="25"/>
    <n v="43275"/>
    <s v="EUR"/>
    <x v="6"/>
    <x v="10"/>
    <n v="0.2"/>
    <x v="1"/>
    <s v="Indigo"/>
  </r>
  <r>
    <n v="73204327"/>
    <s v="Canan"/>
    <s v="Female"/>
    <d v="2030-10-20T00:00:00"/>
    <n v="4609"/>
    <n v="41"/>
    <n v="8.8999999999999999E-3"/>
    <n v="8.8956389672380128E-3"/>
    <x v="0"/>
    <n v="32"/>
    <n v="147488"/>
    <s v="EUR"/>
    <x v="6"/>
    <x v="6"/>
    <n v="0.2"/>
    <x v="0"/>
    <s v="Blue"/>
  </r>
  <r>
    <n v="487415720"/>
    <s v="Cansu"/>
    <s v="Female"/>
    <d v="2030-11-13T00:00:00"/>
    <n v="2003"/>
    <n v="36"/>
    <n v="1.7999999999999999E-2"/>
    <n v="1.797304043934099E-2"/>
    <x v="0"/>
    <n v="27"/>
    <n v="54081"/>
    <s v="EUR"/>
    <x v="7"/>
    <x v="8"/>
    <n v="0.2"/>
    <x v="0"/>
    <s v="Red"/>
  </r>
  <r>
    <n v="315784189"/>
    <s v="Kenan"/>
    <s v="Male"/>
    <d v="2032-02-29T00:00:00"/>
    <n v="4960"/>
    <n v="20"/>
    <n v="4.0000000000000001E-3"/>
    <n v="4.0322580645161289E-3"/>
    <x v="0"/>
    <n v="34"/>
    <n v="168640"/>
    <s v="EUR"/>
    <x v="8"/>
    <x v="1"/>
    <n v="0.2"/>
    <x v="0"/>
    <s v="Khaki"/>
  </r>
  <r>
    <n v="703617139"/>
    <s v="Mirza"/>
    <s v="Male"/>
    <d v="2031-08-09T00:00:00"/>
    <n v="2986"/>
    <n v="35"/>
    <n v="1.17E-2"/>
    <n v="1.172136637642331E-2"/>
    <x v="0"/>
    <n v="38"/>
    <n v="113468"/>
    <s v="EUR"/>
    <x v="9"/>
    <x v="5"/>
    <n v="0.2"/>
    <x v="0"/>
    <s v="Maroon"/>
  </r>
  <r>
    <n v="108391371"/>
    <s v="Ebrar"/>
    <s v="Female"/>
    <d v="2031-07-09T00:00:00"/>
    <n v="4394"/>
    <n v="22"/>
    <n v="5.0000000000000001E-3"/>
    <n v="5.0068274920345929E-3"/>
    <x v="0"/>
    <n v="21"/>
    <n v="92274"/>
    <s v="EUR"/>
    <x v="10"/>
    <x v="0"/>
    <n v="0.2"/>
    <x v="1"/>
    <s v="Orange"/>
  </r>
  <r>
    <n v="859985564"/>
    <s v="Semih"/>
    <s v="Male"/>
    <d v="2030-08-08T00:00:00"/>
    <n v="2809"/>
    <n v="50"/>
    <n v="1.78E-2"/>
    <n v="1.77999288002848E-2"/>
    <x v="2"/>
    <n v="34"/>
    <n v="95506"/>
    <s v="EUR"/>
    <x v="11"/>
    <x v="0"/>
    <n v="0.2"/>
    <x v="1"/>
    <s v="Mauv"/>
  </r>
  <r>
    <n v="540135643"/>
    <s v="Sevcan"/>
    <s v="Female"/>
    <d v="2030-07-30T00:00:00"/>
    <n v="3776"/>
    <n v="29"/>
    <n v="7.7000000000000002E-3"/>
    <n v="7.6800847457627122E-3"/>
    <x v="1"/>
    <n v="26"/>
    <n v="98176"/>
    <s v="EUR"/>
    <x v="12"/>
    <x v="7"/>
    <n v="0.2"/>
    <x v="1"/>
    <s v="Indigo"/>
  </r>
  <r>
    <n v="495276420"/>
    <s v="Sevtap"/>
    <s v="Female"/>
    <d v="2032-12-29T00:00:00"/>
    <n v="1450"/>
    <n v="29"/>
    <n v="0.02"/>
    <n v="0.02"/>
    <x v="0"/>
    <n v="21"/>
    <n v="30450"/>
    <s v="EUR"/>
    <x v="13"/>
    <x v="2"/>
    <n v="0.2"/>
    <x v="1"/>
    <s v="Mauv"/>
  </r>
  <r>
    <n v="205520626"/>
    <s v="Kemal"/>
    <s v="Male"/>
    <d v="2032-09-19T00:00:00"/>
    <n v="1415"/>
    <n v="18"/>
    <n v="1.2699999999999999E-2"/>
    <n v="1.2720848056537103E-2"/>
    <x v="0"/>
    <n v="47"/>
    <n v="66505"/>
    <s v="EUR"/>
    <x v="14"/>
    <x v="9"/>
    <n v="0.2"/>
    <x v="1"/>
    <s v="Crimson"/>
  </r>
  <r>
    <n v="22449537"/>
    <s v="Resul"/>
    <s v="Male"/>
    <d v="2031-06-01T00:00:00"/>
    <n v="1094"/>
    <n v="10"/>
    <n v="9.1000000000000004E-3"/>
    <n v="9.140767824497258E-3"/>
    <x v="0"/>
    <n v="46"/>
    <n v="50324"/>
    <s v="EUR"/>
    <x v="0"/>
    <x v="1"/>
    <n v="0.2"/>
    <x v="0"/>
    <s v="Mauv"/>
  </r>
  <r>
    <n v="265287876"/>
    <s v="Beşir"/>
    <s v="Male"/>
    <d v="2031-01-22T00:00:00"/>
    <n v="4731"/>
    <n v="15"/>
    <n v="3.2000000000000002E-3"/>
    <n v="3.1705770450221942E-3"/>
    <x v="0"/>
    <n v="36"/>
    <n v="170316"/>
    <s v="EUR"/>
    <x v="1"/>
    <x v="3"/>
    <n v="0.2"/>
    <x v="0"/>
    <s v="Purple"/>
  </r>
  <r>
    <n v="8077950"/>
    <s v="Yusuf"/>
    <s v="Male"/>
    <d v="2031-12-05T00:00:00"/>
    <n v="2308"/>
    <n v="11"/>
    <n v="4.7999999999999996E-3"/>
    <n v="4.7660311958405543E-3"/>
    <x v="1"/>
    <n v="33"/>
    <n v="76164"/>
    <s v="EUR"/>
    <x v="2"/>
    <x v="3"/>
    <n v="0.2"/>
    <x v="1"/>
    <s v="Blue"/>
  </r>
  <r>
    <n v="813075695"/>
    <s v="Soner"/>
    <s v="Male"/>
    <d v="2030-07-17T00:00:00"/>
    <n v="3917"/>
    <n v="50"/>
    <n v="1.2800000000000001E-2"/>
    <n v="1.2764871074802144E-2"/>
    <x v="0"/>
    <n v="25"/>
    <n v="97925"/>
    <s v="EUR"/>
    <x v="3"/>
    <x v="2"/>
    <n v="0.2"/>
    <x v="0"/>
    <s v="Yellow"/>
  </r>
  <r>
    <n v="435238931"/>
    <s v="Ali"/>
    <s v="Male"/>
    <d v="2032-10-22T00:00:00"/>
    <n v="2975"/>
    <n v="33"/>
    <n v="1.11E-2"/>
    <n v="1.1092436974789916E-2"/>
    <x v="0"/>
    <n v="40"/>
    <n v="119000"/>
    <s v="EUR"/>
    <x v="4"/>
    <x v="10"/>
    <n v="0.2"/>
    <x v="1"/>
    <s v="Maroon"/>
  </r>
  <r>
    <n v="330502982"/>
    <s v="Hasan"/>
    <s v="Male"/>
    <d v="2031-11-23T00:00:00"/>
    <n v="1558"/>
    <n v="37"/>
    <n v="2.3699999999999999E-2"/>
    <n v="2.3748395378690629E-2"/>
    <x v="0"/>
    <n v="25"/>
    <n v="38950"/>
    <s v="EUR"/>
    <x v="5"/>
    <x v="7"/>
    <n v="0.2"/>
    <x v="0"/>
    <s v="Purple"/>
  </r>
  <r>
    <n v="307275833"/>
    <s v="Hüseyin"/>
    <s v="Male"/>
    <d v="2032-08-22T00:00:00"/>
    <n v="4773"/>
    <n v="22"/>
    <n v="4.5999999999999999E-3"/>
    <n v="4.6092604232139114E-3"/>
    <x v="0"/>
    <n v="46"/>
    <n v="219558"/>
    <s v="EUR"/>
    <x v="6"/>
    <x v="4"/>
    <n v="0.2"/>
    <x v="1"/>
    <s v="Mauv"/>
  </r>
  <r>
    <n v="252770482"/>
    <s v="Canan"/>
    <s v="Female"/>
    <d v="2030-06-26T00:00:00"/>
    <n v="1678"/>
    <n v="38"/>
    <n v="2.2599999999999999E-2"/>
    <n v="2.2646007151370679E-2"/>
    <x v="0"/>
    <n v="26"/>
    <n v="43628"/>
    <s v="EUR"/>
    <x v="6"/>
    <x v="6"/>
    <n v="0.2"/>
    <x v="0"/>
    <s v="Mauv"/>
  </r>
  <r>
    <n v="747786970"/>
    <s v="Cansu"/>
    <s v="Female"/>
    <d v="2030-06-02T00:00:00"/>
    <n v="2902"/>
    <n v="39"/>
    <n v="1.34E-2"/>
    <n v="1.3439007580978636E-2"/>
    <x v="0"/>
    <n v="39"/>
    <n v="113178"/>
    <s v="EUR"/>
    <x v="7"/>
    <x v="4"/>
    <n v="0.2"/>
    <x v="0"/>
    <s v="Red"/>
  </r>
  <r>
    <n v="681895983"/>
    <s v="Kenan"/>
    <s v="Male"/>
    <d v="2032-07-03T00:00:00"/>
    <n v="2283"/>
    <n v="28"/>
    <n v="1.23E-2"/>
    <n v="1.2264564169951819E-2"/>
    <x v="0"/>
    <n v="21"/>
    <n v="47943"/>
    <s v="EUR"/>
    <x v="8"/>
    <x v="4"/>
    <n v="0.2"/>
    <x v="0"/>
    <s v="Turquoise"/>
  </r>
  <r>
    <n v="985924204"/>
    <s v="Mirza"/>
    <s v="Male"/>
    <d v="2030-08-22T00:00:00"/>
    <n v="1893"/>
    <n v="43"/>
    <n v="2.2700000000000001E-2"/>
    <n v="2.2715266772319071E-2"/>
    <x v="0"/>
    <n v="35"/>
    <n v="66255"/>
    <s v="EUR"/>
    <x v="9"/>
    <x v="0"/>
    <n v="0.2"/>
    <x v="1"/>
    <s v="Green"/>
  </r>
  <r>
    <n v="142855347"/>
    <s v="Ebrar"/>
    <s v="Female"/>
    <d v="2030-09-27T00:00:00"/>
    <n v="3254"/>
    <n v="29"/>
    <n v="8.8999999999999999E-3"/>
    <n v="8.9121081745543954E-3"/>
    <x v="0"/>
    <n v="20"/>
    <n v="65080"/>
    <s v="EUR"/>
    <x v="10"/>
    <x v="9"/>
    <n v="0.2"/>
    <x v="0"/>
    <s v="Goldenrod"/>
  </r>
  <r>
    <n v="440120767"/>
    <s v="Semih"/>
    <s v="Male"/>
    <d v="2032-04-28T00:00:00"/>
    <n v="3987"/>
    <n v="49"/>
    <n v="1.23E-2"/>
    <n v="1.2289942312515676E-2"/>
    <x v="0"/>
    <n v="42"/>
    <n v="167454"/>
    <s v="EUR"/>
    <x v="11"/>
    <x v="2"/>
    <n v="0.2"/>
    <x v="1"/>
    <s v="Maroon"/>
  </r>
  <r>
    <n v="453397019"/>
    <s v="Sevcan"/>
    <s v="Female"/>
    <d v="2032-04-14T00:00:00"/>
    <n v="1756"/>
    <n v="40"/>
    <n v="2.2800000000000001E-2"/>
    <n v="2.2779043280182234E-2"/>
    <x v="0"/>
    <n v="31"/>
    <n v="54436"/>
    <s v="EUR"/>
    <x v="12"/>
    <x v="6"/>
    <n v="0.2"/>
    <x v="1"/>
    <s v="Puce"/>
  </r>
  <r>
    <n v="721591040"/>
    <s v="Sevtap"/>
    <s v="Female"/>
    <d v="2031-03-05T00:00:00"/>
    <n v="1494"/>
    <n v="13"/>
    <n v="8.6999999999999994E-3"/>
    <n v="8.7014725568942443E-3"/>
    <x v="0"/>
    <n v="38"/>
    <n v="56772"/>
    <s v="EUR"/>
    <x v="13"/>
    <x v="0"/>
    <n v="0.2"/>
    <x v="1"/>
    <s v="Puce"/>
  </r>
  <r>
    <n v="8029368"/>
    <s v="Kemal"/>
    <s v="Male"/>
    <d v="2031-03-12T00:00:00"/>
    <n v="3315"/>
    <n v="17"/>
    <n v="5.1000000000000004E-3"/>
    <n v="5.1282051282051282E-3"/>
    <x v="0"/>
    <n v="43"/>
    <n v="142545"/>
    <s v="EUR"/>
    <x v="14"/>
    <x v="2"/>
    <n v="0.2"/>
    <x v="1"/>
    <s v="Green"/>
  </r>
  <r>
    <n v="415199036"/>
    <s v="Resul"/>
    <s v="Male"/>
    <d v="2031-11-05T00:00:00"/>
    <n v="4428"/>
    <n v="18"/>
    <n v="4.1000000000000003E-3"/>
    <n v="4.0650406504065045E-3"/>
    <x v="0"/>
    <n v="34"/>
    <n v="150552"/>
    <s v="EUR"/>
    <x v="0"/>
    <x v="5"/>
    <n v="0.2"/>
    <x v="1"/>
    <s v="Mauv"/>
  </r>
  <r>
    <n v="861028919"/>
    <s v="Beşir"/>
    <s v="Male"/>
    <d v="2030-07-25T00:00:00"/>
    <n v="1931"/>
    <n v="35"/>
    <n v="1.8100000000000002E-2"/>
    <n v="1.8125323666494046E-2"/>
    <x v="0"/>
    <n v="41"/>
    <n v="79171"/>
    <s v="EUR"/>
    <x v="1"/>
    <x v="10"/>
    <n v="0.2"/>
    <x v="0"/>
    <s v="Red"/>
  </r>
  <r>
    <n v="656412454"/>
    <s v="Yusuf"/>
    <s v="Male"/>
    <d v="2030-06-30T00:00:00"/>
    <n v="4010"/>
    <n v="29"/>
    <n v="7.1999999999999998E-3"/>
    <n v="7.2319201995012473E-3"/>
    <x v="0"/>
    <n v="20"/>
    <n v="80200"/>
    <s v="EUR"/>
    <x v="2"/>
    <x v="3"/>
    <n v="0.2"/>
    <x v="0"/>
    <s v="Green"/>
  </r>
  <r>
    <n v="330389407"/>
    <s v="Soner"/>
    <s v="Male"/>
    <d v="2031-01-05T00:00:00"/>
    <n v="2207"/>
    <n v="50"/>
    <n v="2.2700000000000001E-2"/>
    <n v="2.2655188038060717E-2"/>
    <x v="0"/>
    <n v="25"/>
    <n v="55175"/>
    <s v="EUR"/>
    <x v="3"/>
    <x v="1"/>
    <n v="0.2"/>
    <x v="0"/>
    <s v="Teal"/>
  </r>
  <r>
    <n v="564710434"/>
    <s v="Ali"/>
    <s v="Male"/>
    <d v="2030-04-03T00:00:00"/>
    <n v="2982"/>
    <n v="47"/>
    <n v="1.5800000000000002E-2"/>
    <n v="1.5761234071093227E-2"/>
    <x v="0"/>
    <n v="28"/>
    <n v="83496"/>
    <s v="EUR"/>
    <x v="4"/>
    <x v="5"/>
    <n v="0.2"/>
    <x v="0"/>
    <s v="Maroon"/>
  </r>
  <r>
    <n v="276471356"/>
    <s v="Hasan"/>
    <s v="Male"/>
    <d v="2032-01-22T00:00:00"/>
    <n v="1221"/>
    <n v="30"/>
    <n v="2.46E-2"/>
    <n v="2.4570024570024569E-2"/>
    <x v="0"/>
    <n v="44"/>
    <n v="53724"/>
    <s v="EUR"/>
    <x v="5"/>
    <x v="5"/>
    <n v="0.2"/>
    <x v="0"/>
    <s v="Turquoise"/>
  </r>
  <r>
    <n v="926627997"/>
    <s v="Hüseyin"/>
    <s v="Male"/>
    <d v="2030-04-27T00:00:00"/>
    <n v="3803"/>
    <n v="20"/>
    <n v="5.3E-3"/>
    <n v="5.2590060478569546E-3"/>
    <x v="0"/>
    <n v="44"/>
    <n v="167332"/>
    <s v="EUR"/>
    <x v="6"/>
    <x v="0"/>
    <n v="0.2"/>
    <x v="1"/>
    <s v="Violet"/>
  </r>
  <r>
    <n v="549182793"/>
    <s v="Canan"/>
    <s v="Female"/>
    <d v="2032-03-22T00:00:00"/>
    <n v="3008"/>
    <n v="19"/>
    <n v="6.3E-3"/>
    <n v="6.3164893617021272E-3"/>
    <x v="0"/>
    <n v="30"/>
    <n v="90240"/>
    <s v="EUR"/>
    <x v="6"/>
    <x v="9"/>
    <n v="0.2"/>
    <x v="1"/>
    <s v="Orange"/>
  </r>
  <r>
    <n v="188767352"/>
    <s v="Cansu"/>
    <s v="Female"/>
    <d v="2030-10-13T00:00:00"/>
    <n v="2953"/>
    <n v="11"/>
    <n v="3.7000000000000002E-3"/>
    <n v="3.7250253979004403E-3"/>
    <x v="1"/>
    <n v="33"/>
    <n v="97449"/>
    <s v="EUR"/>
    <x v="7"/>
    <x v="2"/>
    <n v="0.2"/>
    <x v="1"/>
    <s v="Blue"/>
  </r>
  <r>
    <n v="860704970"/>
    <s v="Kenan"/>
    <s v="Male"/>
    <d v="2032-03-23T00:00:00"/>
    <n v="2608"/>
    <n v="39"/>
    <n v="1.4999999999999999E-2"/>
    <n v="1.495398773006135E-2"/>
    <x v="0"/>
    <n v="26"/>
    <n v="67808"/>
    <s v="EUR"/>
    <x v="8"/>
    <x v="9"/>
    <n v="0.2"/>
    <x v="1"/>
    <s v="Khaki"/>
  </r>
  <r>
    <n v="653194443"/>
    <s v="Mirza"/>
    <s v="Male"/>
    <d v="2031-08-05T00:00:00"/>
    <n v="1550"/>
    <n v="38"/>
    <n v="2.4500000000000001E-2"/>
    <n v="2.4516129032258065E-2"/>
    <x v="0"/>
    <n v="50"/>
    <n v="77500"/>
    <s v="EUR"/>
    <x v="9"/>
    <x v="6"/>
    <n v="0.2"/>
    <x v="0"/>
    <s v="Red"/>
  </r>
  <r>
    <n v="821118799"/>
    <s v="Ebrar"/>
    <s v="Female"/>
    <d v="2030-01-30T00:00:00"/>
    <n v="4084"/>
    <n v="28"/>
    <n v="6.8999999999999999E-3"/>
    <n v="6.8560235063663075E-3"/>
    <x v="0"/>
    <n v="45"/>
    <n v="183780"/>
    <s v="EUR"/>
    <x v="10"/>
    <x v="7"/>
    <n v="0.2"/>
    <x v="1"/>
    <s v="Fuscia"/>
  </r>
  <r>
    <n v="385402196"/>
    <s v="Semih"/>
    <s v="Male"/>
    <d v="2031-10-29T00:00:00"/>
    <n v="3980"/>
    <n v="30"/>
    <n v="7.4999999999999997E-3"/>
    <n v="7.537688442211055E-3"/>
    <x v="0"/>
    <n v="27"/>
    <n v="107460"/>
    <s v="EUR"/>
    <x v="11"/>
    <x v="0"/>
    <n v="0.2"/>
    <x v="1"/>
    <s v="Fuscia"/>
  </r>
  <r>
    <n v="924304748"/>
    <s v="Sevcan"/>
    <s v="Female"/>
    <d v="2030-12-02T00:00:00"/>
    <n v="3362"/>
    <n v="45"/>
    <n v="1.34E-2"/>
    <n v="1.338488994646044E-2"/>
    <x v="0"/>
    <n v="43"/>
    <n v="144566"/>
    <s v="EUR"/>
    <x v="12"/>
    <x v="3"/>
    <n v="0.2"/>
    <x v="1"/>
    <s v="Violet"/>
  </r>
  <r>
    <n v="224737619"/>
    <s v="Sevtap"/>
    <s v="Female"/>
    <d v="2032-06-07T00:00:00"/>
    <n v="1461"/>
    <n v="37"/>
    <n v="2.53E-2"/>
    <n v="2.5325119780971937E-2"/>
    <x v="0"/>
    <n v="40"/>
    <n v="58440"/>
    <s v="EUR"/>
    <x v="13"/>
    <x v="8"/>
    <n v="0.2"/>
    <x v="0"/>
    <s v="Pink"/>
  </r>
  <r>
    <n v="270780833"/>
    <s v="Kemal"/>
    <s v="Male"/>
    <d v="2031-08-28T00:00:00"/>
    <n v="2327"/>
    <n v="41"/>
    <n v="1.7600000000000001E-2"/>
    <n v="1.7619252256123763E-2"/>
    <x v="0"/>
    <n v="24"/>
    <n v="55848"/>
    <s v="EUR"/>
    <x v="14"/>
    <x v="5"/>
    <n v="0.2"/>
    <x v="1"/>
    <s v="Maroon"/>
  </r>
  <r>
    <n v="669819417"/>
    <s v="Resul"/>
    <s v="Male"/>
    <d v="2030-01-05T00:00:00"/>
    <n v="4748"/>
    <n v="29"/>
    <n v="6.1000000000000004E-3"/>
    <n v="6.1078348778433027E-3"/>
    <x v="0"/>
    <n v="45"/>
    <n v="213660"/>
    <s v="EUR"/>
    <x v="0"/>
    <x v="7"/>
    <n v="0.2"/>
    <x v="0"/>
    <s v="Khaki"/>
  </r>
  <r>
    <n v="640394490"/>
    <s v="Hüseyin"/>
    <s v="Male"/>
    <d v="2031-09-15T00:00:00"/>
    <n v="1457"/>
    <n v="23"/>
    <n v="1.5800000000000002E-2"/>
    <n v="1.5785861358956762E-2"/>
    <x v="0"/>
    <n v="22"/>
    <n v="32054"/>
    <s v="EUR"/>
    <x v="1"/>
    <x v="3"/>
    <n v="0.2"/>
    <x v="0"/>
    <s v="Teal"/>
  </r>
  <r>
    <n v="483519368"/>
    <s v="Canan"/>
    <s v="Female"/>
    <d v="2030-02-10T00:00:00"/>
    <n v="2691"/>
    <n v="23"/>
    <n v="8.5000000000000006E-3"/>
    <n v="8.5470085470085479E-3"/>
    <x v="0"/>
    <n v="34"/>
    <n v="91494"/>
    <s v="EUR"/>
    <x v="2"/>
    <x v="10"/>
    <n v="0.2"/>
    <x v="0"/>
    <s v="Mauv"/>
  </r>
  <r>
    <n v="530391480"/>
    <s v="Cansu"/>
    <s v="Female"/>
    <d v="2030-02-06T00:00:00"/>
    <n v="4384"/>
    <n v="43"/>
    <n v="9.7999999999999997E-3"/>
    <n v="9.8083941605839418E-3"/>
    <x v="0"/>
    <n v="43"/>
    <n v="188512"/>
    <s v="EUR"/>
    <x v="3"/>
    <x v="4"/>
    <n v="0.2"/>
    <x v="1"/>
    <s v="Mauv"/>
  </r>
  <r>
    <n v="829891994"/>
    <s v="Kenan"/>
    <s v="Male"/>
    <d v="2030-02-28T00:00:00"/>
    <n v="4390"/>
    <n v="47"/>
    <n v="1.0699999999999999E-2"/>
    <n v="1.070615034168565E-2"/>
    <x v="0"/>
    <n v="21"/>
    <n v="92190"/>
    <s v="EUR"/>
    <x v="4"/>
    <x v="3"/>
    <n v="0.2"/>
    <x v="0"/>
    <s v="Red"/>
  </r>
  <r>
    <n v="397599962"/>
    <s v="Mirza"/>
    <s v="Male"/>
    <d v="2031-07-30T00:00:00"/>
    <n v="4355"/>
    <n v="50"/>
    <n v="1.15E-2"/>
    <n v="1.1481056257175661E-2"/>
    <x v="0"/>
    <n v="31"/>
    <n v="135005"/>
    <s v="EUR"/>
    <x v="5"/>
    <x v="1"/>
    <n v="0.2"/>
    <x v="0"/>
    <s v="Aquamarine"/>
  </r>
  <r>
    <n v="446236210"/>
    <s v="Ebrar"/>
    <s v="Female"/>
    <d v="2032-10-16T00:00:00"/>
    <n v="2721"/>
    <n v="35"/>
    <n v="1.29E-2"/>
    <n v="1.2862918044836457E-2"/>
    <x v="4"/>
    <n v="25"/>
    <n v="68025"/>
    <s v="GBP"/>
    <x v="6"/>
    <x v="8"/>
    <n v="0.2"/>
    <x v="1"/>
    <s v="Fuscia"/>
  </r>
  <r>
    <n v="55216453"/>
    <s v="Semih"/>
    <s v="Male"/>
    <d v="2031-02-22T00:00:00"/>
    <n v="3867"/>
    <n v="17"/>
    <n v="4.4000000000000003E-3"/>
    <n v="4.3961727437289893E-3"/>
    <x v="0"/>
    <n v="44"/>
    <n v="170148"/>
    <s v="EUR"/>
    <x v="6"/>
    <x v="0"/>
    <n v="0.2"/>
    <x v="1"/>
    <s v="Blue"/>
  </r>
  <r>
    <n v="202941633"/>
    <s v="Sevcan"/>
    <s v="Female"/>
    <d v="2030-11-05T00:00:00"/>
    <n v="2858"/>
    <n v="41"/>
    <n v="1.43E-2"/>
    <n v="1.4345696291112667E-2"/>
    <x v="0"/>
    <n v="45"/>
    <n v="128610"/>
    <s v="EUR"/>
    <x v="7"/>
    <x v="0"/>
    <n v="0.2"/>
    <x v="0"/>
    <s v="Fuscia"/>
  </r>
  <r>
    <n v="674171804"/>
    <s v="Sevtap"/>
    <s v="Female"/>
    <d v="2032-07-01T00:00:00"/>
    <n v="4065"/>
    <n v="34"/>
    <n v="8.3999999999999995E-3"/>
    <n v="8.3640836408364078E-3"/>
    <x v="0"/>
    <n v="22"/>
    <n v="89430"/>
    <s v="EUR"/>
    <x v="8"/>
    <x v="6"/>
    <n v="0.2"/>
    <x v="1"/>
    <s v="Violet"/>
  </r>
  <r>
    <n v="157973318"/>
    <s v="Kemal"/>
    <s v="Male"/>
    <d v="2031-02-02T00:00:00"/>
    <n v="4422"/>
    <n v="23"/>
    <n v="5.1999999999999998E-3"/>
    <n v="5.2012663952962458E-3"/>
    <x v="0"/>
    <n v="44"/>
    <n v="194568"/>
    <s v="EUR"/>
    <x v="9"/>
    <x v="3"/>
    <n v="0.2"/>
    <x v="1"/>
    <s v="Khaki"/>
  </r>
  <r>
    <n v="825040602"/>
    <s v="Resul"/>
    <s v="Male"/>
    <d v="2031-05-22T00:00:00"/>
    <n v="2865"/>
    <n v="11"/>
    <n v="3.8E-3"/>
    <n v="3.8394415357766143E-3"/>
    <x v="0"/>
    <n v="27"/>
    <n v="77355"/>
    <s v="EUR"/>
    <x v="10"/>
    <x v="10"/>
    <n v="0.2"/>
    <x v="1"/>
    <s v="Khaki"/>
  </r>
  <r>
    <n v="709356251"/>
    <s v="Beşir"/>
    <s v="Male"/>
    <d v="2032-07-15T00:00:00"/>
    <n v="2011"/>
    <n v="38"/>
    <n v="1.89E-2"/>
    <n v="1.8896071606166086E-2"/>
    <x v="0"/>
    <n v="40"/>
    <n v="80440"/>
    <s v="EUR"/>
    <x v="11"/>
    <x v="1"/>
    <n v="0.2"/>
    <x v="1"/>
    <s v="Purple"/>
  </r>
  <r>
    <n v="95818469"/>
    <s v="Yusuf"/>
    <s v="Male"/>
    <d v="2030-12-23T00:00:00"/>
    <n v="1906"/>
    <n v="29"/>
    <n v="1.52E-2"/>
    <n v="1.5215110178384051E-2"/>
    <x v="0"/>
    <n v="35"/>
    <n v="66710"/>
    <s v="EUR"/>
    <x v="12"/>
    <x v="9"/>
    <n v="0.2"/>
    <x v="1"/>
    <s v="Khaki"/>
  </r>
  <r>
    <n v="983907638"/>
    <s v="Soner"/>
    <s v="Male"/>
    <d v="2032-11-08T00:00:00"/>
    <n v="3466"/>
    <n v="41"/>
    <n v="1.18E-2"/>
    <n v="1.1829197922677438E-2"/>
    <x v="0"/>
    <n v="47"/>
    <n v="162902"/>
    <s v="EUR"/>
    <x v="13"/>
    <x v="2"/>
    <n v="0.2"/>
    <x v="1"/>
    <s v="Orange"/>
  </r>
  <r>
    <n v="862858059"/>
    <s v="Ali"/>
    <s v="Male"/>
    <d v="2031-01-16T00:00:00"/>
    <n v="4507"/>
    <n v="50"/>
    <n v="1.11E-2"/>
    <n v="1.1093854004881295E-2"/>
    <x v="0"/>
    <n v="39"/>
    <n v="175773"/>
    <s v="EUR"/>
    <x v="14"/>
    <x v="9"/>
    <n v="0.2"/>
    <x v="0"/>
    <s v="Purple"/>
  </r>
  <r>
    <n v="793077513"/>
    <s v="Hasan"/>
    <s v="Male"/>
    <d v="2031-06-14T00:00:00"/>
    <n v="2636"/>
    <n v="36"/>
    <n v="1.37E-2"/>
    <n v="1.3657056145675266E-2"/>
    <x v="0"/>
    <n v="44"/>
    <n v="115984"/>
    <s v="EUR"/>
    <x v="0"/>
    <x v="5"/>
    <n v="0.2"/>
    <x v="0"/>
    <s v="Blue"/>
  </r>
  <r>
    <n v="25453052"/>
    <s v="Hüseyin"/>
    <s v="Male"/>
    <d v="2031-08-27T00:00:00"/>
    <n v="3434"/>
    <n v="47"/>
    <n v="1.37E-2"/>
    <n v="1.3686662783925451E-2"/>
    <x v="0"/>
    <n v="31"/>
    <n v="106454"/>
    <s v="EUR"/>
    <x v="1"/>
    <x v="1"/>
    <n v="0.2"/>
    <x v="0"/>
    <s v="Goldenrod"/>
  </r>
  <r>
    <n v="221808921"/>
    <s v="Canan"/>
    <s v="Female"/>
    <d v="2030-06-29T00:00:00"/>
    <n v="1078"/>
    <n v="38"/>
    <n v="3.5299999999999998E-2"/>
    <n v="3.525046382189239E-2"/>
    <x v="0"/>
    <n v="23"/>
    <n v="24794"/>
    <s v="EUR"/>
    <x v="2"/>
    <x v="6"/>
    <n v="0.2"/>
    <x v="0"/>
    <s v="Yellow"/>
  </r>
  <r>
    <n v="736805568"/>
    <s v="Cansu"/>
    <s v="Female"/>
    <d v="2032-09-20T00:00:00"/>
    <n v="4693"/>
    <n v="35"/>
    <n v="7.4999999999999997E-3"/>
    <n v="7.4579160451736628E-3"/>
    <x v="0"/>
    <n v="27"/>
    <n v="126711"/>
    <s v="EUR"/>
    <x v="3"/>
    <x v="9"/>
    <n v="0.2"/>
    <x v="0"/>
    <s v="Goldenrod"/>
  </r>
  <r>
    <n v="282238916"/>
    <s v="Kenan"/>
    <s v="Male"/>
    <d v="2030-07-30T00:00:00"/>
    <n v="4373"/>
    <n v="24"/>
    <n v="5.4999999999999997E-3"/>
    <n v="5.4882231877429683E-3"/>
    <x v="0"/>
    <n v="30"/>
    <n v="131190"/>
    <s v="EUR"/>
    <x v="4"/>
    <x v="2"/>
    <n v="0.2"/>
    <x v="1"/>
    <s v="Pink"/>
  </r>
  <r>
    <n v="534209154"/>
    <s v="Mirza"/>
    <s v="Male"/>
    <d v="2030-10-27T00:00:00"/>
    <n v="3067"/>
    <n v="13"/>
    <n v="4.1999999999999997E-3"/>
    <n v="4.2386697098141506E-3"/>
    <x v="0"/>
    <n v="39"/>
    <n v="119613"/>
    <s v="EUR"/>
    <x v="5"/>
    <x v="5"/>
    <n v="0.2"/>
    <x v="1"/>
    <s v="Red"/>
  </r>
  <r>
    <n v="520884253"/>
    <s v="Ebrar"/>
    <s v="Female"/>
    <d v="2030-02-06T00:00:00"/>
    <n v="4590"/>
    <n v="14"/>
    <n v="3.0999999999999999E-3"/>
    <n v="3.0501089324618735E-3"/>
    <x v="0"/>
    <n v="30"/>
    <n v="137700"/>
    <s v="EUR"/>
    <x v="6"/>
    <x v="5"/>
    <n v="0.2"/>
    <x v="0"/>
    <s v="Maroon"/>
  </r>
  <r>
    <n v="240809617"/>
    <s v="Semih"/>
    <s v="Male"/>
    <d v="2031-08-15T00:00:00"/>
    <n v="2724"/>
    <n v="32"/>
    <n v="1.17E-2"/>
    <n v="1.1747430249632892E-2"/>
    <x v="0"/>
    <n v="47"/>
    <n v="128028"/>
    <s v="EUR"/>
    <x v="6"/>
    <x v="7"/>
    <n v="0.2"/>
    <x v="1"/>
    <s v="Puce"/>
  </r>
  <r>
    <n v="832168829"/>
    <s v="Sevcan"/>
    <s v="Female"/>
    <d v="2031-10-07T00:00:00"/>
    <n v="3869"/>
    <n v="32"/>
    <n v="8.3000000000000001E-3"/>
    <n v="8.2708710261049367E-3"/>
    <x v="0"/>
    <n v="20"/>
    <n v="77380"/>
    <s v="EUR"/>
    <x v="7"/>
    <x v="2"/>
    <n v="0.2"/>
    <x v="0"/>
    <s v="Khaki"/>
  </r>
  <r>
    <n v="168209471"/>
    <s v="Sevtap"/>
    <s v="Female"/>
    <d v="2030-07-23T00:00:00"/>
    <n v="1351"/>
    <n v="45"/>
    <n v="3.3300000000000003E-2"/>
    <n v="3.3308660251665435E-2"/>
    <x v="0"/>
    <n v="36"/>
    <n v="48636"/>
    <s v="EUR"/>
    <x v="8"/>
    <x v="8"/>
    <n v="0.2"/>
    <x v="0"/>
    <s v="Turquoise"/>
  </r>
  <r>
    <n v="759152309"/>
    <s v="Kemal"/>
    <s v="Male"/>
    <d v="2032-08-09T00:00:00"/>
    <n v="1866"/>
    <n v="14"/>
    <n v="7.4999999999999997E-3"/>
    <n v="7.502679528403001E-3"/>
    <x v="0"/>
    <n v="36"/>
    <n v="67176"/>
    <s v="EUR"/>
    <x v="9"/>
    <x v="3"/>
    <n v="0.2"/>
    <x v="1"/>
    <s v="Maroon"/>
  </r>
  <r>
    <n v="987593866"/>
    <s v="Resul"/>
    <s v="Male"/>
    <d v="2032-01-28T00:00:00"/>
    <n v="3647"/>
    <n v="14"/>
    <n v="3.8E-3"/>
    <n v="3.838771593090211E-3"/>
    <x v="0"/>
    <n v="30"/>
    <n v="109410"/>
    <s v="EUR"/>
    <x v="10"/>
    <x v="9"/>
    <n v="0.2"/>
    <x v="0"/>
    <s v="Indigo"/>
  </r>
  <r>
    <n v="28716372"/>
    <s v="Beşir"/>
    <s v="Male"/>
    <d v="2031-09-13T00:00:00"/>
    <n v="4772"/>
    <n v="25"/>
    <n v="5.1999999999999998E-3"/>
    <n v="5.238893545683152E-3"/>
    <x v="0"/>
    <n v="32"/>
    <n v="152704"/>
    <s v="EUR"/>
    <x v="11"/>
    <x v="3"/>
    <n v="0.2"/>
    <x v="0"/>
    <s v="Teal"/>
  </r>
  <r>
    <n v="417312213"/>
    <s v="Yusuf"/>
    <s v="Male"/>
    <d v="2031-06-26T00:00:00"/>
    <n v="1542"/>
    <n v="50"/>
    <n v="3.2399999999999998E-2"/>
    <n v="3.2425421530479899E-2"/>
    <x v="0"/>
    <n v="34"/>
    <n v="52428"/>
    <s v="EUR"/>
    <x v="12"/>
    <x v="7"/>
    <n v="0.2"/>
    <x v="1"/>
    <s v="Indigo"/>
  </r>
  <r>
    <n v="943750835"/>
    <s v="Soner"/>
    <s v="Male"/>
    <d v="2031-06-20T00:00:00"/>
    <n v="3348"/>
    <n v="47"/>
    <n v="1.4E-2"/>
    <n v="1.4038231780167264E-2"/>
    <x v="0"/>
    <n v="36"/>
    <n v="120528"/>
    <s v="EUR"/>
    <x v="13"/>
    <x v="5"/>
    <n v="0.2"/>
    <x v="0"/>
    <s v="Yellow"/>
  </r>
  <r>
    <n v="537955402"/>
    <s v="Ali"/>
    <s v="Male"/>
    <d v="2031-11-06T00:00:00"/>
    <n v="2233"/>
    <n v="26"/>
    <n v="1.1599999999999999E-2"/>
    <n v="1.1643528884908196E-2"/>
    <x v="0"/>
    <n v="23"/>
    <n v="51359"/>
    <s v="EUR"/>
    <x v="14"/>
    <x v="7"/>
    <n v="0.2"/>
    <x v="0"/>
    <s v="Goldenrod"/>
  </r>
  <r>
    <n v="470189075"/>
    <s v="Hasan"/>
    <s v="Male"/>
    <d v="2030-02-10T00:00:00"/>
    <n v="2511"/>
    <n v="20"/>
    <n v="8.0000000000000002E-3"/>
    <n v="7.9649542015133405E-3"/>
    <x v="0"/>
    <n v="47"/>
    <n v="118017"/>
    <s v="EUR"/>
    <x v="0"/>
    <x v="4"/>
    <n v="0.2"/>
    <x v="1"/>
    <s v="Green"/>
  </r>
  <r>
    <n v="547849400"/>
    <s v="Hüseyin"/>
    <s v="Male"/>
    <d v="2032-12-12T00:00:00"/>
    <n v="4119"/>
    <n v="17"/>
    <n v="4.1000000000000003E-3"/>
    <n v="4.1272153435299832E-3"/>
    <x v="0"/>
    <n v="39"/>
    <n v="160641"/>
    <s v="EUR"/>
    <x v="1"/>
    <x v="3"/>
    <n v="0.2"/>
    <x v="0"/>
    <s v="Purple"/>
  </r>
  <r>
    <n v="650430486"/>
    <s v="Canan"/>
    <s v="Female"/>
    <d v="2031-11-29T00:00:00"/>
    <n v="3690"/>
    <n v="24"/>
    <n v="6.4999999999999997E-3"/>
    <n v="6.5040650406504065E-3"/>
    <x v="0"/>
    <n v="22"/>
    <n v="81180"/>
    <s v="EUR"/>
    <x v="2"/>
    <x v="7"/>
    <n v="0.2"/>
    <x v="0"/>
    <s v="Orange"/>
  </r>
  <r>
    <n v="927872729"/>
    <s v="Cansu"/>
    <s v="Female"/>
    <d v="2032-01-15T00:00:00"/>
    <n v="2147"/>
    <n v="43"/>
    <n v="0.02"/>
    <n v="2.0027945971122497E-2"/>
    <x v="0"/>
    <n v="33"/>
    <n v="70851"/>
    <s v="EUR"/>
    <x v="3"/>
    <x v="0"/>
    <n v="0.2"/>
    <x v="0"/>
    <s v="Pink"/>
  </r>
  <r>
    <n v="206931471"/>
    <s v="Kenan"/>
    <s v="Male"/>
    <d v="2031-08-17T00:00:00"/>
    <n v="1097"/>
    <n v="32"/>
    <n v="2.92E-2"/>
    <n v="2.9170464904284411E-2"/>
    <x v="1"/>
    <n v="44"/>
    <n v="48268"/>
    <s v="EUR"/>
    <x v="4"/>
    <x v="0"/>
    <n v="0.2"/>
    <x v="1"/>
    <s v="Blue"/>
  </r>
  <r>
    <n v="353193985"/>
    <s v="Mirza"/>
    <s v="Male"/>
    <d v="2030-01-12T00:00:00"/>
    <n v="1366"/>
    <n v="30"/>
    <n v="2.1999999999999999E-2"/>
    <n v="2.1961932650073207E-2"/>
    <x v="0"/>
    <n v="47"/>
    <n v="64202"/>
    <s v="EUR"/>
    <x v="5"/>
    <x v="8"/>
    <n v="0.2"/>
    <x v="0"/>
    <s v="Aquamarine"/>
  </r>
  <r>
    <n v="624465341"/>
    <s v="Ebrar"/>
    <s v="Female"/>
    <d v="2030-02-04T00:00:00"/>
    <n v="1711"/>
    <n v="35"/>
    <n v="2.0500000000000001E-2"/>
    <n v="2.0455873758036237E-2"/>
    <x v="0"/>
    <n v="46"/>
    <n v="78706"/>
    <s v="EUR"/>
    <x v="6"/>
    <x v="6"/>
    <n v="0.2"/>
    <x v="1"/>
    <s v="Red"/>
  </r>
  <r>
    <n v="176669340"/>
    <s v="Semih"/>
    <s v="Male"/>
    <d v="2031-06-11T00:00:00"/>
    <n v="4013"/>
    <n v="42"/>
    <n v="1.0500000000000001E-2"/>
    <n v="1.046598554697234E-2"/>
    <x v="0"/>
    <n v="46"/>
    <n v="184598"/>
    <s v="EUR"/>
    <x v="6"/>
    <x v="9"/>
    <n v="0.2"/>
    <x v="1"/>
    <s v="Crimson"/>
  </r>
  <r>
    <n v="918290682"/>
    <s v="Sevcan"/>
    <s v="Female"/>
    <d v="2031-06-22T00:00:00"/>
    <n v="4341"/>
    <n v="14"/>
    <n v="3.2000000000000002E-3"/>
    <n v="3.2250633494586502E-3"/>
    <x v="0"/>
    <n v="36"/>
    <n v="156276"/>
    <s v="EUR"/>
    <x v="7"/>
    <x v="0"/>
    <n v="0.2"/>
    <x v="0"/>
    <s v="Indigo"/>
  </r>
  <r>
    <n v="309617803"/>
    <s v="Sevtap"/>
    <s v="Female"/>
    <d v="2031-05-06T00:00:00"/>
    <n v="4945"/>
    <n v="18"/>
    <n v="3.5999999999999999E-3"/>
    <n v="3.640040444893832E-3"/>
    <x v="0"/>
    <n v="33"/>
    <n v="163185"/>
    <s v="EUR"/>
    <x v="8"/>
    <x v="10"/>
    <n v="0.2"/>
    <x v="1"/>
    <s v="Khaki"/>
  </r>
  <r>
    <n v="947366302"/>
    <s v="Kemal"/>
    <s v="Male"/>
    <d v="2031-05-15T00:00:00"/>
    <n v="2083"/>
    <n v="20"/>
    <n v="9.5999999999999992E-3"/>
    <n v="9.6015362457993279E-3"/>
    <x v="0"/>
    <n v="20"/>
    <n v="41660"/>
    <s v="EUR"/>
    <x v="9"/>
    <x v="10"/>
    <n v="0.2"/>
    <x v="0"/>
    <s v="Mauv"/>
  </r>
  <r>
    <n v="356680263"/>
    <s v="Resul"/>
    <s v="Male"/>
    <d v="2031-10-06T00:00:00"/>
    <n v="3399"/>
    <n v="48"/>
    <n v="1.41E-2"/>
    <n v="1.412180052956752E-2"/>
    <x v="0"/>
    <n v="24"/>
    <n v="81576"/>
    <s v="EUR"/>
    <x v="10"/>
    <x v="8"/>
    <n v="0.2"/>
    <x v="1"/>
    <s v="Pink"/>
  </r>
  <r>
    <n v="690364047"/>
    <s v="Hüseyin"/>
    <s v="Male"/>
    <d v="2030-12-10T00:00:00"/>
    <n v="4345"/>
    <n v="41"/>
    <n v="9.4000000000000004E-3"/>
    <n v="9.4361334867663973E-3"/>
    <x v="0"/>
    <n v="30"/>
    <n v="130350"/>
    <s v="EUR"/>
    <x v="11"/>
    <x v="3"/>
    <n v="0.2"/>
    <x v="1"/>
    <s v="Khaki"/>
  </r>
  <r>
    <n v="593943033"/>
    <s v="Canan"/>
    <s v="Female"/>
    <d v="2031-06-17T00:00:00"/>
    <n v="2502"/>
    <n v="44"/>
    <n v="1.7600000000000001E-2"/>
    <n v="1.7585931254996003E-2"/>
    <x v="0"/>
    <n v="31"/>
    <n v="77562"/>
    <s v="EUR"/>
    <x v="12"/>
    <x v="5"/>
    <n v="0.2"/>
    <x v="0"/>
    <s v="Orange"/>
  </r>
  <r>
    <n v="282270759"/>
    <s v="Cansu"/>
    <s v="Female"/>
    <d v="2032-05-11T00:00:00"/>
    <n v="3537"/>
    <n v="11"/>
    <n v="3.0999999999999999E-3"/>
    <n v="3.1099802092168505E-3"/>
    <x v="0"/>
    <n v="30"/>
    <n v="106110"/>
    <s v="EUR"/>
    <x v="13"/>
    <x v="0"/>
    <n v="0.2"/>
    <x v="1"/>
    <s v="Yellow"/>
  </r>
  <r>
    <n v="352676457"/>
    <s v="Kenan"/>
    <s v="Male"/>
    <d v="2032-09-11T00:00:00"/>
    <n v="2156"/>
    <n v="11"/>
    <n v="5.1000000000000004E-3"/>
    <n v="5.1020408163265302E-3"/>
    <x v="0"/>
    <n v="49"/>
    <n v="105644"/>
    <s v="EUR"/>
    <x v="14"/>
    <x v="1"/>
    <n v="0.2"/>
    <x v="1"/>
    <s v="Puce"/>
  </r>
  <r>
    <n v="80087218"/>
    <s v="Mirza"/>
    <s v="Male"/>
    <d v="2032-05-04T00:00:00"/>
    <n v="3814"/>
    <n v="35"/>
    <n v="9.1999999999999998E-3"/>
    <n v="9.1767173571054017E-3"/>
    <x v="0"/>
    <n v="25"/>
    <n v="95350"/>
    <s v="EUR"/>
    <x v="0"/>
    <x v="9"/>
    <n v="0.2"/>
    <x v="0"/>
    <s v="Yellow"/>
  </r>
  <r>
    <n v="893296679"/>
    <s v="Ebrar"/>
    <s v="Female"/>
    <d v="2031-06-29T00:00:00"/>
    <n v="1691"/>
    <n v="43"/>
    <n v="2.5399999999999999E-2"/>
    <n v="2.5428740390301598E-2"/>
    <x v="0"/>
    <n v="39"/>
    <n v="65949"/>
    <s v="EUR"/>
    <x v="1"/>
    <x v="0"/>
    <n v="0.2"/>
    <x v="1"/>
    <s v="Aquamarine"/>
  </r>
  <r>
    <n v="517329539"/>
    <s v="Semih"/>
    <s v="Male"/>
    <d v="2032-08-10T00:00:00"/>
    <n v="4435"/>
    <n v="19"/>
    <n v="4.3E-3"/>
    <n v="4.2841037204058626E-3"/>
    <x v="0"/>
    <n v="38"/>
    <n v="168530"/>
    <s v="EUR"/>
    <x v="2"/>
    <x v="7"/>
    <n v="0.2"/>
    <x v="0"/>
    <s v="Maroon"/>
  </r>
  <r>
    <n v="547379153"/>
    <s v="Sevcan"/>
    <s v="Female"/>
    <d v="2032-06-02T00:00:00"/>
    <n v="3088"/>
    <n v="19"/>
    <n v="6.1999999999999998E-3"/>
    <n v="6.1528497409326427E-3"/>
    <x v="0"/>
    <n v="30"/>
    <n v="92640"/>
    <s v="EUR"/>
    <x v="3"/>
    <x v="9"/>
    <n v="0.2"/>
    <x v="0"/>
    <s v="Aquamarine"/>
  </r>
  <r>
    <n v="780633625"/>
    <s v="Sevtap"/>
    <s v="Female"/>
    <d v="2032-12-05T00:00:00"/>
    <n v="3554"/>
    <n v="18"/>
    <n v="5.1000000000000004E-3"/>
    <n v="5.064715813168261E-3"/>
    <x v="0"/>
    <n v="33"/>
    <n v="117282"/>
    <s v="EUR"/>
    <x v="4"/>
    <x v="10"/>
    <n v="0.2"/>
    <x v="0"/>
    <s v="Purple"/>
  </r>
  <r>
    <n v="882074937"/>
    <s v="Kemal"/>
    <s v="Male"/>
    <d v="2031-06-26T00:00:00"/>
    <n v="2764"/>
    <n v="17"/>
    <n v="6.1999999999999998E-3"/>
    <n v="6.1505065123010133E-3"/>
    <x v="0"/>
    <n v="21"/>
    <n v="58044"/>
    <s v="EUR"/>
    <x v="5"/>
    <x v="7"/>
    <n v="0.2"/>
    <x v="0"/>
    <s v="Orange"/>
  </r>
  <r>
    <n v="905254708"/>
    <s v="Resul"/>
    <s v="Male"/>
    <d v="2030-02-06T00:00:00"/>
    <n v="3921"/>
    <n v="14"/>
    <n v="3.5999999999999999E-3"/>
    <n v="3.5705177250701351E-3"/>
    <x v="0"/>
    <n v="34"/>
    <n v="133314"/>
    <s v="EUR"/>
    <x v="6"/>
    <x v="0"/>
    <n v="0.2"/>
    <x v="0"/>
    <s v="Orange"/>
  </r>
  <r>
    <n v="663132136"/>
    <s v="Beşir"/>
    <s v="Male"/>
    <d v="2030-10-04T00:00:00"/>
    <n v="2558"/>
    <n v="17"/>
    <n v="6.6E-3"/>
    <n v="6.645817044566067E-3"/>
    <x v="0"/>
    <n v="32"/>
    <n v="81856"/>
    <s v="EUR"/>
    <x v="6"/>
    <x v="0"/>
    <n v="0.2"/>
    <x v="1"/>
    <s v="Aquamarine"/>
  </r>
  <r>
    <n v="899190758"/>
    <s v="Yusuf"/>
    <s v="Male"/>
    <d v="2032-12-29T00:00:00"/>
    <n v="4088"/>
    <n v="46"/>
    <n v="1.1299999999999999E-2"/>
    <n v="1.1252446183953033E-2"/>
    <x v="0"/>
    <n v="42"/>
    <n v="171696"/>
    <s v="EUR"/>
    <x v="7"/>
    <x v="7"/>
    <n v="0.2"/>
    <x v="0"/>
    <s v="Crimson"/>
  </r>
  <r>
    <n v="42193893"/>
    <s v="Soner"/>
    <s v="Male"/>
    <d v="2031-05-08T00:00:00"/>
    <n v="4292"/>
    <n v="20"/>
    <n v="4.7000000000000002E-3"/>
    <n v="4.6598322460391422E-3"/>
    <x v="0"/>
    <n v="35"/>
    <n v="150220"/>
    <s v="EUR"/>
    <x v="8"/>
    <x v="3"/>
    <n v="0.2"/>
    <x v="0"/>
    <s v="Fuscia"/>
  </r>
  <r>
    <n v="192268277"/>
    <s v="Ali"/>
    <s v="Male"/>
    <d v="2032-03-10T00:00:00"/>
    <n v="4691"/>
    <n v="30"/>
    <n v="6.4000000000000003E-3"/>
    <n v="6.3952248987422721E-3"/>
    <x v="0"/>
    <n v="32"/>
    <n v="150112"/>
    <s v="EUR"/>
    <x v="9"/>
    <x v="9"/>
    <n v="0.2"/>
    <x v="0"/>
    <s v="Purple"/>
  </r>
  <r>
    <n v="554636944"/>
    <s v="Hasan"/>
    <s v="Male"/>
    <d v="2031-02-27T00:00:00"/>
    <n v="4563"/>
    <n v="36"/>
    <n v="7.9000000000000008E-3"/>
    <n v="7.889546351084813E-3"/>
    <x v="0"/>
    <n v="37"/>
    <n v="168831"/>
    <s v="EUR"/>
    <x v="10"/>
    <x v="10"/>
    <n v="0.2"/>
    <x v="1"/>
    <s v="Orange"/>
  </r>
  <r>
    <n v="350065017"/>
    <s v="Hüseyin"/>
    <s v="Male"/>
    <d v="2032-10-14T00:00:00"/>
    <n v="1264"/>
    <n v="48"/>
    <n v="3.7999999999999999E-2"/>
    <n v="3.7974683544303799E-2"/>
    <x v="0"/>
    <n v="46"/>
    <n v="58144"/>
    <s v="EUR"/>
    <x v="11"/>
    <x v="3"/>
    <n v="0.2"/>
    <x v="0"/>
    <s v="Yellow"/>
  </r>
  <r>
    <n v="397999137"/>
    <s v="Canan"/>
    <s v="Female"/>
    <d v="2031-07-08T00:00:00"/>
    <n v="4691"/>
    <n v="48"/>
    <n v="1.0200000000000001E-2"/>
    <n v="1.0232359837987636E-2"/>
    <x v="0"/>
    <n v="30"/>
    <n v="140730"/>
    <s v="EUR"/>
    <x v="12"/>
    <x v="9"/>
    <n v="0.2"/>
    <x v="0"/>
    <s v="Turquoise"/>
  </r>
  <r>
    <n v="697113239"/>
    <s v="Cansu"/>
    <s v="Female"/>
    <d v="2030-09-03T00:00:00"/>
    <n v="1363"/>
    <n v="49"/>
    <n v="3.5999999999999997E-2"/>
    <n v="3.5950110051357301E-2"/>
    <x v="0"/>
    <n v="40"/>
    <n v="54520"/>
    <s v="EUR"/>
    <x v="13"/>
    <x v="9"/>
    <n v="0.2"/>
    <x v="1"/>
    <s v="Aquamarine"/>
  </r>
  <r>
    <n v="655049559"/>
    <s v="Kenan"/>
    <s v="Male"/>
    <d v="2031-06-13T00:00:00"/>
    <n v="1696"/>
    <n v="45"/>
    <n v="2.6499999999999999E-2"/>
    <n v="2.6533018867924529E-2"/>
    <x v="0"/>
    <n v="34"/>
    <n v="57664"/>
    <s v="EUR"/>
    <x v="14"/>
    <x v="9"/>
    <n v="0.2"/>
    <x v="1"/>
    <s v="Fuscia"/>
  </r>
  <r>
    <n v="742467981"/>
    <s v="Mirza"/>
    <s v="Male"/>
    <d v="2032-08-16T00:00:00"/>
    <n v="3066"/>
    <n v="40"/>
    <n v="1.2999999999999999E-2"/>
    <n v="1.3046314416177429E-2"/>
    <x v="0"/>
    <n v="43"/>
    <n v="131838"/>
    <s v="EUR"/>
    <x v="0"/>
    <x v="8"/>
    <n v="0.2"/>
    <x v="1"/>
    <s v="Maroon"/>
  </r>
  <r>
    <n v="793059344"/>
    <s v="Ebrar"/>
    <s v="Female"/>
    <d v="2032-07-11T00:00:00"/>
    <n v="3383"/>
    <n v="46"/>
    <n v="1.3599999999999999E-2"/>
    <n v="1.3597398758498374E-2"/>
    <x v="0"/>
    <n v="32"/>
    <n v="108256"/>
    <s v="EUR"/>
    <x v="1"/>
    <x v="3"/>
    <n v="0.2"/>
    <x v="1"/>
    <s v="Crimson"/>
  </r>
  <r>
    <n v="914887627"/>
    <s v="Semih"/>
    <s v="Male"/>
    <d v="2031-03-07T00:00:00"/>
    <n v="3080"/>
    <n v="11"/>
    <n v="3.5999999999999999E-3"/>
    <n v="3.5714285714285713E-3"/>
    <x v="0"/>
    <n v="40"/>
    <n v="123200"/>
    <s v="EUR"/>
    <x v="2"/>
    <x v="4"/>
    <n v="0.2"/>
    <x v="1"/>
    <s v="Purple"/>
  </r>
  <r>
    <n v="681593791"/>
    <s v="Sevcan"/>
    <s v="Female"/>
    <d v="2031-01-10T00:00:00"/>
    <n v="4514"/>
    <n v="36"/>
    <n v="8.0000000000000002E-3"/>
    <n v="7.9751883030571551E-3"/>
    <x v="0"/>
    <n v="23"/>
    <n v="103822"/>
    <s v="EUR"/>
    <x v="3"/>
    <x v="0"/>
    <n v="0.2"/>
    <x v="1"/>
    <s v="Yellow"/>
  </r>
  <r>
    <n v="82011191"/>
    <s v="Sevtap"/>
    <s v="Female"/>
    <d v="2030-05-02T00:00:00"/>
    <n v="2478"/>
    <n v="22"/>
    <n v="8.8999999999999999E-3"/>
    <n v="8.8781275221953195E-3"/>
    <x v="0"/>
    <n v="30"/>
    <n v="74340"/>
    <s v="EUR"/>
    <x v="4"/>
    <x v="1"/>
    <n v="0.2"/>
    <x v="0"/>
    <s v="Blue"/>
  </r>
  <r>
    <n v="787236854"/>
    <s v="Kemal"/>
    <s v="Male"/>
    <d v="2030-07-01T00:00:00"/>
    <n v="2953"/>
    <n v="10"/>
    <n v="3.3999999999999998E-3"/>
    <n v="3.3863867253640365E-3"/>
    <x v="0"/>
    <n v="21"/>
    <n v="62013"/>
    <s v="EUR"/>
    <x v="5"/>
    <x v="7"/>
    <n v="0.2"/>
    <x v="0"/>
    <s v="Indigo"/>
  </r>
  <r>
    <n v="306538260"/>
    <s v="Resul"/>
    <s v="Male"/>
    <d v="2032-10-05T00:00:00"/>
    <n v="3355"/>
    <n v="35"/>
    <n v="1.04E-2"/>
    <n v="1.0432190760059613E-2"/>
    <x v="0"/>
    <n v="32"/>
    <n v="107360"/>
    <s v="EUR"/>
    <x v="6"/>
    <x v="4"/>
    <n v="0.2"/>
    <x v="0"/>
    <s v="Indigo"/>
  </r>
  <r>
    <n v="269398085"/>
    <s v="Beşir"/>
    <s v="Male"/>
    <d v="2031-05-26T00:00:00"/>
    <n v="2331"/>
    <n v="30"/>
    <n v="1.29E-2"/>
    <n v="1.2870012870012869E-2"/>
    <x v="0"/>
    <n v="31"/>
    <n v="72261"/>
    <s v="EUR"/>
    <x v="6"/>
    <x v="8"/>
    <n v="0.2"/>
    <x v="0"/>
    <s v="Yellow"/>
  </r>
  <r>
    <n v="253910514"/>
    <s v="Yusuf"/>
    <s v="Male"/>
    <d v="2030-08-20T00:00:00"/>
    <n v="4726"/>
    <n v="19"/>
    <n v="4.0000000000000001E-3"/>
    <n v="4.0203131612357177E-3"/>
    <x v="0"/>
    <n v="42"/>
    <n v="198492"/>
    <s v="EUR"/>
    <x v="7"/>
    <x v="0"/>
    <n v="0.2"/>
    <x v="0"/>
    <s v="Indigo"/>
  </r>
  <r>
    <n v="596998914"/>
    <s v="Soner"/>
    <s v="Male"/>
    <d v="2031-10-14T00:00:00"/>
    <n v="1355"/>
    <n v="22"/>
    <n v="1.6199999999999999E-2"/>
    <n v="1.6236162361623615E-2"/>
    <x v="0"/>
    <n v="34"/>
    <n v="46070"/>
    <s v="EUR"/>
    <x v="8"/>
    <x v="8"/>
    <n v="0.2"/>
    <x v="1"/>
    <s v="Blue"/>
  </r>
  <r>
    <n v="71685646"/>
    <s v="Ali"/>
    <s v="Male"/>
    <d v="2032-11-03T00:00:00"/>
    <n v="3433"/>
    <n v="30"/>
    <n v="8.6999999999999994E-3"/>
    <n v="8.7387124963588698E-3"/>
    <x v="0"/>
    <n v="34"/>
    <n v="116722"/>
    <s v="EUR"/>
    <x v="9"/>
    <x v="10"/>
    <n v="0.2"/>
    <x v="1"/>
    <s v="Turquoise"/>
  </r>
  <r>
    <n v="408339503"/>
    <s v="Hasan"/>
    <s v="Male"/>
    <d v="2030-08-21T00:00:00"/>
    <n v="4069"/>
    <n v="39"/>
    <n v="9.5999999999999992E-3"/>
    <n v="9.5846645367412137E-3"/>
    <x v="0"/>
    <n v="50"/>
    <n v="203450"/>
    <s v="EUR"/>
    <x v="10"/>
    <x v="6"/>
    <n v="0.2"/>
    <x v="1"/>
    <s v="Turquoise"/>
  </r>
  <r>
    <n v="754532655"/>
    <s v="Hüseyin"/>
    <s v="Male"/>
    <d v="2031-09-23T00:00:00"/>
    <n v="4117"/>
    <n v="46"/>
    <n v="1.12E-2"/>
    <n v="1.11731843575419E-2"/>
    <x v="0"/>
    <n v="41"/>
    <n v="168797"/>
    <s v="EUR"/>
    <x v="11"/>
    <x v="5"/>
    <n v="0.2"/>
    <x v="1"/>
    <s v="Mauv"/>
  </r>
  <r>
    <n v="463381864"/>
    <s v="Canan"/>
    <s v="Female"/>
    <d v="2031-01-01T00:00:00"/>
    <n v="4759"/>
    <n v="34"/>
    <n v="7.1000000000000004E-3"/>
    <n v="7.1443580584156334E-3"/>
    <x v="0"/>
    <n v="45"/>
    <n v="214155"/>
    <s v="EUR"/>
    <x v="12"/>
    <x v="10"/>
    <n v="0.2"/>
    <x v="0"/>
    <s v="Violet"/>
  </r>
  <r>
    <n v="781204404"/>
    <s v="Cansu"/>
    <s v="Female"/>
    <d v="2032-08-06T00:00:00"/>
    <n v="2213"/>
    <n v="11"/>
    <n v="5.0000000000000001E-3"/>
    <n v="4.9706281066425667E-3"/>
    <x v="0"/>
    <n v="34"/>
    <n v="75242"/>
    <s v="EUR"/>
    <x v="13"/>
    <x v="2"/>
    <n v="0.2"/>
    <x v="0"/>
    <s v="Fuscia"/>
  </r>
  <r>
    <n v="332222128"/>
    <s v="Kenan"/>
    <s v="Male"/>
    <d v="2032-06-26T00:00:00"/>
    <n v="1913"/>
    <n v="39"/>
    <n v="2.0400000000000001E-2"/>
    <n v="2.0386826973340304E-2"/>
    <x v="1"/>
    <n v="27"/>
    <n v="51651"/>
    <s v="EUR"/>
    <x v="14"/>
    <x v="0"/>
    <n v="0.2"/>
    <x v="0"/>
    <s v="Pink"/>
  </r>
  <r>
    <n v="811539784"/>
    <s v="Mirza"/>
    <s v="Male"/>
    <d v="2030-01-12T00:00:00"/>
    <n v="3736"/>
    <n v="44"/>
    <n v="1.18E-2"/>
    <n v="1.1777301927194861E-2"/>
    <x v="0"/>
    <n v="34"/>
    <n v="127024"/>
    <s v="EUR"/>
    <x v="0"/>
    <x v="8"/>
    <n v="0.2"/>
    <x v="1"/>
    <s v="Aquamarine"/>
  </r>
  <r>
    <n v="129955813"/>
    <s v="Ebrar"/>
    <s v="Female"/>
    <d v="2032-07-21T00:00:00"/>
    <n v="1000"/>
    <n v="25"/>
    <n v="2.5000000000000001E-2"/>
    <n v="2.5000000000000001E-2"/>
    <x v="0"/>
    <n v="37"/>
    <n v="37000"/>
    <s v="EUR"/>
    <x v="1"/>
    <x v="3"/>
    <n v="0.2"/>
    <x v="1"/>
    <s v="Purple"/>
  </r>
  <r>
    <n v="761978961"/>
    <s v="Semih"/>
    <s v="Male"/>
    <d v="2031-05-14T00:00:00"/>
    <n v="1365"/>
    <n v="27"/>
    <n v="1.9800000000000002E-2"/>
    <n v="1.9780219780219779E-2"/>
    <x v="0"/>
    <n v="47"/>
    <n v="64155"/>
    <s v="EUR"/>
    <x v="2"/>
    <x v="9"/>
    <n v="0.2"/>
    <x v="1"/>
    <s v="Pink"/>
  </r>
  <r>
    <n v="75064051"/>
    <s v="Sevcan"/>
    <s v="Female"/>
    <d v="2030-07-18T00:00:00"/>
    <n v="3965"/>
    <n v="19"/>
    <n v="4.7999999999999996E-3"/>
    <n v="4.7919293820933165E-3"/>
    <x v="0"/>
    <n v="49"/>
    <n v="194285"/>
    <s v="EUR"/>
    <x v="3"/>
    <x v="2"/>
    <n v="0.2"/>
    <x v="0"/>
    <s v="Yellow"/>
  </r>
  <r>
    <n v="967105045"/>
    <s v="Sevtap"/>
    <s v="Female"/>
    <d v="2032-04-03T00:00:00"/>
    <n v="3570"/>
    <n v="18"/>
    <n v="5.0000000000000001E-3"/>
    <n v="5.0420168067226894E-3"/>
    <x v="0"/>
    <n v="23"/>
    <n v="82110"/>
    <s v="EUR"/>
    <x v="4"/>
    <x v="8"/>
    <n v="0.2"/>
    <x v="1"/>
    <s v="Aquamarine"/>
  </r>
  <r>
    <n v="204326200"/>
    <s v="Kemal"/>
    <s v="Male"/>
    <d v="2030-10-09T00:00:00"/>
    <n v="2744"/>
    <n v="37"/>
    <n v="1.35E-2"/>
    <n v="1.348396501457726E-2"/>
    <x v="0"/>
    <n v="31"/>
    <n v="85064"/>
    <s v="EUR"/>
    <x v="5"/>
    <x v="5"/>
    <n v="0.2"/>
    <x v="0"/>
    <s v="Goldenrod"/>
  </r>
  <r>
    <n v="753235748"/>
    <s v="Resul"/>
    <s v="Male"/>
    <d v="2030-10-12T00:00:00"/>
    <n v="2851"/>
    <n v="13"/>
    <n v="4.5999999999999999E-3"/>
    <n v="4.5598035776920377E-3"/>
    <x v="0"/>
    <n v="29"/>
    <n v="82679"/>
    <s v="EUR"/>
    <x v="6"/>
    <x v="8"/>
    <n v="0.2"/>
    <x v="1"/>
    <s v="Turquoise"/>
  </r>
  <r>
    <n v="391435971"/>
    <s v="Hüseyin"/>
    <s v="Male"/>
    <d v="2032-05-11T00:00:00"/>
    <n v="2320"/>
    <n v="14"/>
    <n v="6.0000000000000001E-3"/>
    <n v="6.0344827586206896E-3"/>
    <x v="0"/>
    <n v="34"/>
    <n v="78880"/>
    <s v="EUR"/>
    <x v="6"/>
    <x v="4"/>
    <n v="0.2"/>
    <x v="0"/>
    <s v="Crimson"/>
  </r>
  <r>
    <n v="617629244"/>
    <s v="Canan"/>
    <s v="Female"/>
    <d v="2030-02-27T00:00:00"/>
    <n v="3197"/>
    <n v="20"/>
    <n v="6.3E-3"/>
    <n v="6.2558648733187366E-3"/>
    <x v="0"/>
    <n v="49"/>
    <n v="156653"/>
    <s v="EUR"/>
    <x v="7"/>
    <x v="10"/>
    <n v="0.2"/>
    <x v="1"/>
    <s v="Khaki"/>
  </r>
  <r>
    <n v="67322305"/>
    <s v="Cansu"/>
    <s v="Female"/>
    <d v="2030-04-07T00:00:00"/>
    <n v="3664"/>
    <n v="37"/>
    <n v="1.01E-2"/>
    <n v="1.009825327510917E-2"/>
    <x v="1"/>
    <n v="22"/>
    <n v="80608"/>
    <s v="EUR"/>
    <x v="8"/>
    <x v="4"/>
    <n v="0.2"/>
    <x v="0"/>
    <s v="Goldenrod"/>
  </r>
  <r>
    <n v="103233668"/>
    <s v="Kenan"/>
    <s v="Male"/>
    <d v="2031-01-03T00:00:00"/>
    <n v="2404"/>
    <n v="34"/>
    <n v="1.41E-2"/>
    <n v="1.4143094841930116E-2"/>
    <x v="0"/>
    <n v="35"/>
    <n v="84140"/>
    <s v="EUR"/>
    <x v="9"/>
    <x v="5"/>
    <n v="0.2"/>
    <x v="0"/>
    <s v="Khaki"/>
  </r>
  <r>
    <n v="374674994"/>
    <s v="Mirza"/>
    <s v="Male"/>
    <d v="2032-03-17T00:00:00"/>
    <n v="1460"/>
    <n v="15"/>
    <n v="1.03E-2"/>
    <n v="1.0273972602739725E-2"/>
    <x v="0"/>
    <n v="41"/>
    <n v="59860"/>
    <s v="EUR"/>
    <x v="10"/>
    <x v="9"/>
    <n v="0.2"/>
    <x v="1"/>
    <s v="Orange"/>
  </r>
  <r>
    <n v="289965246"/>
    <s v="Ebrar"/>
    <s v="Female"/>
    <d v="2032-05-02T00:00:00"/>
    <n v="3211"/>
    <n v="17"/>
    <n v="5.3E-3"/>
    <n v="5.2943008408595452E-3"/>
    <x v="0"/>
    <n v="48"/>
    <n v="154128"/>
    <s v="EUR"/>
    <x v="11"/>
    <x v="10"/>
    <n v="0.2"/>
    <x v="0"/>
    <s v="Blue"/>
  </r>
  <r>
    <n v="394172590"/>
    <s v="Semih"/>
    <s v="Male"/>
    <d v="2032-11-22T00:00:00"/>
    <n v="4303"/>
    <n v="20"/>
    <n v="4.5999999999999999E-3"/>
    <n v="4.6479200557750407E-3"/>
    <x v="0"/>
    <n v="28"/>
    <n v="120484"/>
    <s v="EUR"/>
    <x v="12"/>
    <x v="5"/>
    <n v="0.2"/>
    <x v="1"/>
    <s v="Red"/>
  </r>
  <r>
    <n v="395699330"/>
    <s v="Sevcan"/>
    <s v="Female"/>
    <d v="2031-04-24T00:00:00"/>
    <n v="3760"/>
    <n v="15"/>
    <n v="4.0000000000000001E-3"/>
    <n v="3.9893617021276593E-3"/>
    <x v="0"/>
    <n v="20"/>
    <n v="75200"/>
    <s v="EUR"/>
    <x v="13"/>
    <x v="7"/>
    <n v="0.2"/>
    <x v="0"/>
    <s v="Violet"/>
  </r>
  <r>
    <n v="774726043"/>
    <s v="Sevtap"/>
    <s v="Female"/>
    <d v="2031-12-21T00:00:00"/>
    <n v="3021"/>
    <n v="37"/>
    <n v="1.2200000000000001E-2"/>
    <n v="1.2247600132406488E-2"/>
    <x v="0"/>
    <n v="32"/>
    <n v="96672"/>
    <s v="EUR"/>
    <x v="14"/>
    <x v="1"/>
    <n v="0.2"/>
    <x v="1"/>
    <s v="Mauv"/>
  </r>
  <r>
    <n v="717196501"/>
    <s v="Kemal"/>
    <s v="Male"/>
    <d v="2032-12-03T00:00:00"/>
    <n v="4471"/>
    <n v="17"/>
    <n v="3.8E-3"/>
    <n v="3.8022813688212928E-3"/>
    <x v="0"/>
    <n v="41"/>
    <n v="183311"/>
    <s v="EUR"/>
    <x v="0"/>
    <x v="8"/>
    <n v="0.2"/>
    <x v="0"/>
    <s v="Pink"/>
  </r>
  <r>
    <n v="964689606"/>
    <s v="Resul"/>
    <s v="Male"/>
    <d v="2031-08-22T00:00:00"/>
    <n v="1803"/>
    <n v="31"/>
    <n v="1.72E-2"/>
    <n v="1.7193566278424846E-2"/>
    <x v="0"/>
    <n v="40"/>
    <n v="72120"/>
    <s v="EUR"/>
    <x v="1"/>
    <x v="6"/>
    <n v="0.2"/>
    <x v="0"/>
    <s v="Pink"/>
  </r>
  <r>
    <n v="648283534"/>
    <s v="Beşir"/>
    <s v="Male"/>
    <d v="2032-10-28T00:00:00"/>
    <n v="2799"/>
    <n v="20"/>
    <n v="7.1000000000000004E-3"/>
    <n v="7.145409074669525E-3"/>
    <x v="2"/>
    <n v="41"/>
    <n v="114759"/>
    <s v="EUR"/>
    <x v="2"/>
    <x v="7"/>
    <n v="0.2"/>
    <x v="1"/>
    <s v="Purple"/>
  </r>
  <r>
    <n v="732750601"/>
    <s v="Yusuf"/>
    <s v="Male"/>
    <d v="2031-10-16T00:00:00"/>
    <n v="1366"/>
    <n v="44"/>
    <n v="3.2199999999999999E-2"/>
    <n v="3.2210834553440704E-2"/>
    <x v="0"/>
    <n v="44"/>
    <n v="60104"/>
    <s v="EUR"/>
    <x v="3"/>
    <x v="3"/>
    <n v="0.2"/>
    <x v="0"/>
    <s v="Puce"/>
  </r>
  <r>
    <n v="15713937"/>
    <s v="Soner"/>
    <s v="Male"/>
    <d v="2030-07-10T00:00:00"/>
    <n v="4180"/>
    <n v="22"/>
    <n v="5.3E-3"/>
    <n v="5.263157894736842E-3"/>
    <x v="0"/>
    <n v="44"/>
    <n v="183920"/>
    <s v="EUR"/>
    <x v="4"/>
    <x v="4"/>
    <n v="0.2"/>
    <x v="1"/>
    <s v="Green"/>
  </r>
  <r>
    <n v="607018526"/>
    <s v="Ali"/>
    <s v="Male"/>
    <d v="2031-07-10T00:00:00"/>
    <n v="1872"/>
    <n v="47"/>
    <n v="2.5100000000000001E-2"/>
    <n v="2.5106837606837608E-2"/>
    <x v="0"/>
    <n v="27"/>
    <n v="50544"/>
    <s v="EUR"/>
    <x v="5"/>
    <x v="3"/>
    <n v="0.2"/>
    <x v="0"/>
    <s v="Violet"/>
  </r>
  <r>
    <n v="178576433"/>
    <s v="Hasan"/>
    <s v="Male"/>
    <d v="2032-04-09T00:00:00"/>
    <n v="1282"/>
    <n v="16"/>
    <n v="1.2500000000000001E-2"/>
    <n v="1.2480499219968799E-2"/>
    <x v="0"/>
    <n v="36"/>
    <n v="46152"/>
    <s v="EUR"/>
    <x v="6"/>
    <x v="4"/>
    <n v="0.2"/>
    <x v="1"/>
    <s v="Maroon"/>
  </r>
  <r>
    <n v="617022116"/>
    <s v="Hüseyin"/>
    <s v="Male"/>
    <d v="2032-05-11T00:00:00"/>
    <n v="2993"/>
    <n v="25"/>
    <n v="8.3999999999999995E-3"/>
    <n v="8.35282325425994E-3"/>
    <x v="0"/>
    <n v="20"/>
    <n v="59860"/>
    <s v="EUR"/>
    <x v="6"/>
    <x v="2"/>
    <n v="0.2"/>
    <x v="1"/>
    <s v="Puce"/>
  </r>
  <r>
    <n v="985091899"/>
    <s v="Canan"/>
    <s v="Female"/>
    <d v="2031-07-24T00:00:00"/>
    <n v="4968"/>
    <n v="40"/>
    <n v="8.0999999999999996E-3"/>
    <n v="8.0515297906602248E-3"/>
    <x v="0"/>
    <n v="25"/>
    <n v="124200"/>
    <s v="EUR"/>
    <x v="7"/>
    <x v="2"/>
    <n v="0.2"/>
    <x v="0"/>
    <s v="Pink"/>
  </r>
  <r>
    <n v="585307791"/>
    <s v="Cansu"/>
    <s v="Female"/>
    <d v="2032-01-19T00:00:00"/>
    <n v="4190"/>
    <n v="30"/>
    <n v="7.1999999999999998E-3"/>
    <n v="7.1599045346062056E-3"/>
    <x v="0"/>
    <n v="47"/>
    <n v="196930"/>
    <s v="EUR"/>
    <x v="8"/>
    <x v="8"/>
    <n v="0.2"/>
    <x v="0"/>
    <s v="Puce"/>
  </r>
  <r>
    <n v="500927265"/>
    <s v="Kenan"/>
    <s v="Male"/>
    <d v="2030-09-07T00:00:00"/>
    <n v="2854"/>
    <n v="42"/>
    <n v="1.47E-2"/>
    <n v="1.4716187806587245E-2"/>
    <x v="0"/>
    <n v="47"/>
    <n v="134138"/>
    <s v="EUR"/>
    <x v="9"/>
    <x v="0"/>
    <n v="0.2"/>
    <x v="1"/>
    <s v="Goldenrod"/>
  </r>
  <r>
    <n v="399209814"/>
    <s v="Mirza"/>
    <s v="Male"/>
    <d v="2032-11-08T00:00:00"/>
    <n v="3460"/>
    <n v="45"/>
    <n v="1.2999999999999999E-2"/>
    <n v="1.300578034682081E-2"/>
    <x v="0"/>
    <n v="40"/>
    <n v="138400"/>
    <s v="EUR"/>
    <x v="10"/>
    <x v="3"/>
    <n v="0.2"/>
    <x v="1"/>
    <s v="Teal"/>
  </r>
  <r>
    <n v="711702752"/>
    <s v="Ebrar"/>
    <s v="Female"/>
    <d v="2031-09-01T00:00:00"/>
    <n v="1059"/>
    <n v="15"/>
    <n v="1.4200000000000001E-2"/>
    <n v="1.4164305949008499E-2"/>
    <x v="0"/>
    <n v="38"/>
    <n v="40242"/>
    <s v="EUR"/>
    <x v="11"/>
    <x v="5"/>
    <n v="0.2"/>
    <x v="0"/>
    <s v="Pink"/>
  </r>
  <r>
    <n v="956036698"/>
    <s v="Semih"/>
    <s v="Male"/>
    <d v="2031-04-22T00:00:00"/>
    <n v="4644"/>
    <n v="48"/>
    <n v="1.03E-2"/>
    <n v="1.0335917312661499E-2"/>
    <x v="1"/>
    <n v="45"/>
    <n v="208980"/>
    <s v="EUR"/>
    <x v="12"/>
    <x v="8"/>
    <n v="0.2"/>
    <x v="1"/>
    <s v="Green"/>
  </r>
  <r>
    <n v="113413555"/>
    <s v="Sevcan"/>
    <s v="Female"/>
    <d v="2030-01-27T00:00:00"/>
    <n v="1134"/>
    <n v="32"/>
    <n v="2.8199999999999999E-2"/>
    <n v="2.821869488536155E-2"/>
    <x v="0"/>
    <n v="34"/>
    <n v="38556"/>
    <s v="EUR"/>
    <x v="13"/>
    <x v="2"/>
    <n v="0.2"/>
    <x v="0"/>
    <s v="Indigo"/>
  </r>
  <r>
    <n v="545660809"/>
    <s v="Sevtap"/>
    <s v="Female"/>
    <d v="2031-10-30T00:00:00"/>
    <n v="2175"/>
    <n v="24"/>
    <n v="1.0999999999999999E-2"/>
    <n v="1.1034482758620689E-2"/>
    <x v="0"/>
    <n v="29"/>
    <n v="63075"/>
    <s v="EUR"/>
    <x v="14"/>
    <x v="9"/>
    <n v="0.2"/>
    <x v="0"/>
    <s v="Crimson"/>
  </r>
  <r>
    <n v="114640473"/>
    <s v="Kemal"/>
    <s v="Male"/>
    <d v="2032-10-19T00:00:00"/>
    <n v="4274"/>
    <n v="14"/>
    <n v="3.3E-3"/>
    <n v="3.2756200280767431E-3"/>
    <x v="0"/>
    <n v="24"/>
    <n v="102576"/>
    <s v="EUR"/>
    <x v="0"/>
    <x v="6"/>
    <n v="0.2"/>
    <x v="0"/>
    <s v="Crimson"/>
  </r>
  <r>
    <n v="987222221"/>
    <s v="Resul"/>
    <s v="Male"/>
    <d v="2032-02-26T00:00:00"/>
    <n v="1192"/>
    <n v="50"/>
    <n v="4.19E-2"/>
    <n v="4.1946308724832217E-2"/>
    <x v="0"/>
    <n v="23"/>
    <n v="27416"/>
    <s v="EUR"/>
    <x v="1"/>
    <x v="7"/>
    <n v="0.2"/>
    <x v="0"/>
    <s v="Crimson"/>
  </r>
  <r>
    <n v="896188908"/>
    <s v="Beşir"/>
    <s v="Male"/>
    <d v="2031-09-21T00:00:00"/>
    <n v="2365"/>
    <n v="24"/>
    <n v="1.01E-2"/>
    <n v="1.014799154334038E-2"/>
    <x v="1"/>
    <n v="31"/>
    <n v="73315"/>
    <s v="EUR"/>
    <x v="2"/>
    <x v="9"/>
    <n v="0.2"/>
    <x v="1"/>
    <s v="Crimson"/>
  </r>
  <r>
    <n v="667175629"/>
    <s v="Yusuf"/>
    <s v="Male"/>
    <d v="2031-01-04T00:00:00"/>
    <n v="4700"/>
    <n v="19"/>
    <n v="4.0000000000000001E-3"/>
    <n v="4.0425531914893616E-3"/>
    <x v="0"/>
    <n v="31"/>
    <n v="145700"/>
    <s v="EUR"/>
    <x v="3"/>
    <x v="6"/>
    <n v="0.2"/>
    <x v="0"/>
    <s v="Yellow"/>
  </r>
  <r>
    <n v="455362927"/>
    <s v="Soner"/>
    <s v="Male"/>
    <d v="2032-05-01T00:00:00"/>
    <n v="2695"/>
    <n v="34"/>
    <n v="1.26E-2"/>
    <n v="1.2615955473098329E-2"/>
    <x v="0"/>
    <n v="43"/>
    <n v="115885"/>
    <s v="EUR"/>
    <x v="4"/>
    <x v="6"/>
    <n v="0.2"/>
    <x v="0"/>
    <s v="Mauv"/>
  </r>
  <r>
    <n v="731502970"/>
    <s v="Ali"/>
    <s v="Male"/>
    <d v="2030-06-24T00:00:00"/>
    <n v="1307"/>
    <n v="35"/>
    <n v="2.6800000000000001E-2"/>
    <n v="2.6778882938026015E-2"/>
    <x v="0"/>
    <n v="31"/>
    <n v="40517"/>
    <s v="EUR"/>
    <x v="5"/>
    <x v="1"/>
    <n v="0.2"/>
    <x v="0"/>
    <s v="Crimson"/>
  </r>
  <r>
    <n v="537945165"/>
    <s v="Hasan"/>
    <s v="Male"/>
    <d v="2031-06-18T00:00:00"/>
    <n v="2686"/>
    <n v="11"/>
    <n v="4.1000000000000003E-3"/>
    <n v="4.0953090096798213E-3"/>
    <x v="0"/>
    <n v="47"/>
    <n v="126242"/>
    <s v="EUR"/>
    <x v="6"/>
    <x v="9"/>
    <n v="0.2"/>
    <x v="0"/>
    <s v="Fuscia"/>
  </r>
  <r>
    <n v="63857446"/>
    <s v="Hüseyin"/>
    <s v="Male"/>
    <d v="2030-12-03T00:00:00"/>
    <n v="1912"/>
    <n v="24"/>
    <n v="1.26E-2"/>
    <n v="1.2552301255230125E-2"/>
    <x v="0"/>
    <n v="27"/>
    <n v="51624"/>
    <s v="EUR"/>
    <x v="6"/>
    <x v="2"/>
    <n v="0.2"/>
    <x v="0"/>
    <s v="Fuscia"/>
  </r>
  <r>
    <n v="979398711"/>
    <s v="Canan"/>
    <s v="Female"/>
    <d v="2030-12-11T00:00:00"/>
    <n v="1774"/>
    <n v="36"/>
    <n v="2.0299999999999999E-2"/>
    <n v="2.0293122886133032E-2"/>
    <x v="0"/>
    <n v="44"/>
    <n v="78056"/>
    <s v="EUR"/>
    <x v="7"/>
    <x v="2"/>
    <n v="0.2"/>
    <x v="1"/>
    <s v="Goldenrod"/>
  </r>
  <r>
    <n v="609574065"/>
    <s v="Cansu"/>
    <s v="Female"/>
    <d v="2030-06-14T00:00:00"/>
    <n v="1924"/>
    <n v="10"/>
    <n v="5.1999999999999998E-3"/>
    <n v="5.1975051975051978E-3"/>
    <x v="0"/>
    <n v="50"/>
    <n v="96200"/>
    <s v="EUR"/>
    <x v="8"/>
    <x v="0"/>
    <n v="0.2"/>
    <x v="1"/>
    <s v="Aquamarine"/>
  </r>
  <r>
    <n v="819420546"/>
    <s v="Kenan"/>
    <s v="Male"/>
    <d v="2031-05-12T00:00:00"/>
    <n v="1242"/>
    <n v="36"/>
    <n v="2.9000000000000001E-2"/>
    <n v="2.8985507246376812E-2"/>
    <x v="0"/>
    <n v="44"/>
    <n v="54648"/>
    <s v="EUR"/>
    <x v="9"/>
    <x v="9"/>
    <n v="0.2"/>
    <x v="1"/>
    <s v="Blue"/>
  </r>
  <r>
    <n v="503748016"/>
    <s v="Mirza"/>
    <s v="Male"/>
    <d v="2032-01-28T00:00:00"/>
    <n v="1885"/>
    <n v="49"/>
    <n v="2.5999999999999999E-2"/>
    <n v="2.59946949602122E-2"/>
    <x v="0"/>
    <n v="21"/>
    <n v="39585"/>
    <s v="EUR"/>
    <x v="10"/>
    <x v="0"/>
    <n v="0.2"/>
    <x v="0"/>
    <s v="Mauv"/>
  </r>
  <r>
    <n v="644796507"/>
    <s v="Ebrar"/>
    <s v="Female"/>
    <d v="2032-10-10T00:00:00"/>
    <n v="2510"/>
    <n v="44"/>
    <n v="1.7500000000000002E-2"/>
    <n v="1.752988047808765E-2"/>
    <x v="0"/>
    <n v="26"/>
    <n v="65260"/>
    <s v="EUR"/>
    <x v="11"/>
    <x v="0"/>
    <n v="0.2"/>
    <x v="1"/>
    <s v="Green"/>
  </r>
  <r>
    <n v="923785387"/>
    <s v="Semih"/>
    <s v="Male"/>
    <d v="2030-02-07T00:00:00"/>
    <n v="3234"/>
    <n v="45"/>
    <n v="1.3899999999999999E-2"/>
    <n v="1.3914656771799629E-2"/>
    <x v="4"/>
    <n v="46"/>
    <n v="148764"/>
    <s v="GBP"/>
    <x v="12"/>
    <x v="10"/>
    <n v="0.2"/>
    <x v="0"/>
    <s v="Orange"/>
  </r>
  <r>
    <n v="684137324"/>
    <s v="Sevcan"/>
    <s v="Female"/>
    <d v="2030-01-17T00:00:00"/>
    <n v="1434"/>
    <n v="32"/>
    <n v="2.23E-2"/>
    <n v="2.2315202231520222E-2"/>
    <x v="0"/>
    <n v="34"/>
    <n v="48756"/>
    <s v="EUR"/>
    <x v="13"/>
    <x v="1"/>
    <n v="0.2"/>
    <x v="1"/>
    <s v="Khaki"/>
  </r>
  <r>
    <n v="857669741"/>
    <s v="Sevtap"/>
    <s v="Female"/>
    <d v="2030-04-26T00:00:00"/>
    <n v="1336"/>
    <n v="24"/>
    <n v="1.7999999999999999E-2"/>
    <n v="1.7964071856287425E-2"/>
    <x v="2"/>
    <n v="24"/>
    <n v="32064"/>
    <s v="EUR"/>
    <x v="14"/>
    <x v="4"/>
    <n v="0.2"/>
    <x v="1"/>
    <s v="Mauv"/>
  </r>
  <r>
    <n v="368170608"/>
    <s v="Kemal"/>
    <s v="Male"/>
    <d v="2030-11-14T00:00:00"/>
    <n v="1162"/>
    <n v="37"/>
    <n v="3.1800000000000002E-2"/>
    <n v="3.1841652323580036E-2"/>
    <x v="0"/>
    <n v="29"/>
    <n v="33698"/>
    <s v="EUR"/>
    <x v="0"/>
    <x v="10"/>
    <n v="0.2"/>
    <x v="0"/>
    <s v="Blue"/>
  </r>
  <r>
    <n v="471883708"/>
    <s v="Resul"/>
    <s v="Male"/>
    <d v="2032-11-26T00:00:00"/>
    <n v="4479"/>
    <n v="33"/>
    <n v="7.4000000000000003E-3"/>
    <n v="7.367716008037508E-3"/>
    <x v="0"/>
    <n v="28"/>
    <n v="125412"/>
    <s v="EUR"/>
    <x v="1"/>
    <x v="4"/>
    <n v="0.2"/>
    <x v="1"/>
    <s v="Purple"/>
  </r>
  <r>
    <n v="181548781"/>
    <s v="Hüseyin"/>
    <s v="Male"/>
    <d v="2031-05-09T00:00:00"/>
    <n v="1871"/>
    <n v="46"/>
    <n v="2.46E-2"/>
    <n v="2.4585783003741316E-2"/>
    <x v="0"/>
    <n v="36"/>
    <n v="67356"/>
    <s v="EUR"/>
    <x v="2"/>
    <x v="8"/>
    <n v="0.2"/>
    <x v="1"/>
    <s v="Maroon"/>
  </r>
  <r>
    <n v="912076876"/>
    <s v="Canan"/>
    <s v="Female"/>
    <d v="2031-03-04T00:00:00"/>
    <n v="1774"/>
    <n v="20"/>
    <n v="1.1299999999999999E-2"/>
    <n v="1.1273957158962795E-2"/>
    <x v="0"/>
    <n v="50"/>
    <n v="88700"/>
    <s v="EUR"/>
    <x v="3"/>
    <x v="1"/>
    <n v="0.2"/>
    <x v="0"/>
    <s v="Yellow"/>
  </r>
  <r>
    <n v="303160500"/>
    <s v="Cansu"/>
    <s v="Female"/>
    <d v="2032-02-07T00:00:00"/>
    <n v="4391"/>
    <n v="21"/>
    <n v="4.7999999999999996E-3"/>
    <n v="4.7825096788886362E-3"/>
    <x v="0"/>
    <n v="33"/>
    <n v="144903"/>
    <s v="EUR"/>
    <x v="4"/>
    <x v="5"/>
    <n v="0.2"/>
    <x v="0"/>
    <s v="Teal"/>
  </r>
  <r>
    <n v="427396008"/>
    <s v="Kenan"/>
    <s v="Male"/>
    <d v="2030-10-05T00:00:00"/>
    <n v="4800"/>
    <n v="17"/>
    <n v="3.5000000000000001E-3"/>
    <n v="3.5416666666666665E-3"/>
    <x v="0"/>
    <n v="49"/>
    <n v="235200"/>
    <s v="EUR"/>
    <x v="5"/>
    <x v="2"/>
    <n v="0.2"/>
    <x v="0"/>
    <s v="Turquoise"/>
  </r>
  <r>
    <n v="342992261"/>
    <s v="Mirza"/>
    <s v="Male"/>
    <d v="2031-04-08T00:00:00"/>
    <n v="4914"/>
    <n v="37"/>
    <n v="7.4999999999999997E-3"/>
    <n v="7.5295075295075294E-3"/>
    <x v="0"/>
    <n v="44"/>
    <n v="216216"/>
    <s v="EUR"/>
    <x v="6"/>
    <x v="1"/>
    <n v="0.2"/>
    <x v="1"/>
    <s v="Goldenrod"/>
  </r>
  <r>
    <n v="28069075"/>
    <s v="Ebrar"/>
    <s v="Female"/>
    <d v="2031-11-18T00:00:00"/>
    <n v="3329"/>
    <n v="40"/>
    <n v="1.2E-2"/>
    <n v="1.2015620306398318E-2"/>
    <x v="0"/>
    <n v="36"/>
    <n v="119844"/>
    <s v="EUR"/>
    <x v="6"/>
    <x v="0"/>
    <n v="0.2"/>
    <x v="0"/>
    <s v="Indigo"/>
  </r>
  <r>
    <n v="295597233"/>
    <s v="Semih"/>
    <s v="Male"/>
    <d v="2031-11-30T00:00:00"/>
    <n v="1632"/>
    <n v="31"/>
    <n v="1.9E-2"/>
    <n v="1.8995098039215685E-2"/>
    <x v="0"/>
    <n v="30"/>
    <n v="48960"/>
    <s v="EUR"/>
    <x v="7"/>
    <x v="5"/>
    <n v="0.2"/>
    <x v="0"/>
    <s v="Turquoise"/>
  </r>
  <r>
    <n v="543346843"/>
    <s v="Sevcan"/>
    <s v="Female"/>
    <d v="2031-11-04T00:00:00"/>
    <n v="3580"/>
    <n v="42"/>
    <n v="1.17E-2"/>
    <n v="1.1731843575418994E-2"/>
    <x v="0"/>
    <n v="23"/>
    <n v="82340"/>
    <s v="EUR"/>
    <x v="8"/>
    <x v="7"/>
    <n v="0.2"/>
    <x v="1"/>
    <s v="Violet"/>
  </r>
  <r>
    <n v="963686162"/>
    <s v="Sevtap"/>
    <s v="Female"/>
    <d v="2030-07-18T00:00:00"/>
    <n v="4538"/>
    <n v="42"/>
    <n v="9.2999999999999992E-3"/>
    <n v="9.2551784927280747E-3"/>
    <x v="0"/>
    <n v="23"/>
    <n v="104374"/>
    <s v="EUR"/>
    <x v="9"/>
    <x v="9"/>
    <n v="0.2"/>
    <x v="1"/>
    <s v="Purple"/>
  </r>
  <r>
    <n v="919391215"/>
    <s v="Kemal"/>
    <s v="Male"/>
    <d v="2032-09-02T00:00:00"/>
    <n v="2181"/>
    <n v="18"/>
    <n v="8.3000000000000001E-3"/>
    <n v="8.253094910591471E-3"/>
    <x v="0"/>
    <n v="21"/>
    <n v="45801"/>
    <s v="EUR"/>
    <x v="10"/>
    <x v="6"/>
    <n v="0.2"/>
    <x v="1"/>
    <s v="Yellow"/>
  </r>
  <r>
    <n v="996976592"/>
    <s v="Resul"/>
    <s v="Male"/>
    <d v="2032-03-12T00:00:00"/>
    <n v="4100"/>
    <n v="41"/>
    <n v="0.01"/>
    <n v="0.01"/>
    <x v="0"/>
    <n v="30"/>
    <n v="123000"/>
    <s v="EUR"/>
    <x v="11"/>
    <x v="9"/>
    <n v="0.2"/>
    <x v="1"/>
    <s v="Aquamarine"/>
  </r>
  <r>
    <n v="612505838"/>
    <s v="Beşir"/>
    <s v="Male"/>
    <d v="2032-07-28T00:00:00"/>
    <n v="2379"/>
    <n v="10"/>
    <n v="4.1999999999999997E-3"/>
    <n v="4.2034468263976461E-3"/>
    <x v="4"/>
    <n v="44"/>
    <n v="104676"/>
    <s v="GBP"/>
    <x v="12"/>
    <x v="8"/>
    <n v="0.2"/>
    <x v="0"/>
    <s v="Purple"/>
  </r>
  <r>
    <n v="438933559"/>
    <s v="Yusuf"/>
    <s v="Male"/>
    <d v="2031-11-19T00:00:00"/>
    <n v="1650"/>
    <n v="36"/>
    <n v="2.18E-2"/>
    <n v="2.181818181818182E-2"/>
    <x v="0"/>
    <n v="38"/>
    <n v="62700"/>
    <s v="EUR"/>
    <x v="13"/>
    <x v="3"/>
    <n v="0.2"/>
    <x v="1"/>
    <s v="Mauv"/>
  </r>
  <r>
    <n v="362712532"/>
    <s v="Soner"/>
    <s v="Male"/>
    <d v="2031-06-12T00:00:00"/>
    <n v="2053"/>
    <n v="30"/>
    <n v="1.46E-2"/>
    <n v="1.4612761811982464E-2"/>
    <x v="0"/>
    <n v="47"/>
    <n v="96491"/>
    <s v="EUR"/>
    <x v="14"/>
    <x v="6"/>
    <n v="0.2"/>
    <x v="1"/>
    <s v="Puce"/>
  </r>
  <r>
    <n v="395378695"/>
    <s v="Ali"/>
    <s v="Male"/>
    <d v="2030-01-01T00:00:00"/>
    <n v="1995"/>
    <n v="47"/>
    <n v="2.3599999999999999E-2"/>
    <n v="2.3558897243107769E-2"/>
    <x v="0"/>
    <n v="20"/>
    <n v="39900"/>
    <s v="EUR"/>
    <x v="0"/>
    <x v="0"/>
    <n v="0.2"/>
    <x v="1"/>
    <s v="Khaki"/>
  </r>
  <r>
    <n v="581798529"/>
    <s v="Hasan"/>
    <s v="Male"/>
    <d v="2031-08-26T00:00:00"/>
    <n v="1456"/>
    <n v="19"/>
    <n v="1.2999999999999999E-2"/>
    <n v="1.304945054945055E-2"/>
    <x v="0"/>
    <n v="32"/>
    <n v="46592"/>
    <s v="EUR"/>
    <x v="1"/>
    <x v="1"/>
    <n v="0.2"/>
    <x v="0"/>
    <s v="Pink"/>
  </r>
  <r>
    <n v="98473024"/>
    <s v="Hüseyin"/>
    <s v="Male"/>
    <d v="2032-02-20T00:00:00"/>
    <n v="1234"/>
    <n v="22"/>
    <n v="1.78E-2"/>
    <n v="1.7828200972447326E-2"/>
    <x v="0"/>
    <n v="48"/>
    <n v="59232"/>
    <s v="EUR"/>
    <x v="2"/>
    <x v="4"/>
    <n v="0.2"/>
    <x v="0"/>
    <s v="Teal"/>
  </r>
  <r>
    <n v="920152379"/>
    <s v="Canan"/>
    <s v="Female"/>
    <d v="2031-02-04T00:00:00"/>
    <n v="2571"/>
    <n v="13"/>
    <n v="5.1000000000000004E-3"/>
    <n v="5.0563982886036559E-3"/>
    <x v="0"/>
    <n v="50"/>
    <n v="128550"/>
    <s v="EUR"/>
    <x v="3"/>
    <x v="0"/>
    <n v="0.2"/>
    <x v="0"/>
    <s v="Aquamarine"/>
  </r>
  <r>
    <n v="535286219"/>
    <s v="Cansu"/>
    <s v="Female"/>
    <d v="2030-11-20T00:00:00"/>
    <n v="1909"/>
    <n v="28"/>
    <n v="1.47E-2"/>
    <n v="1.4667365112624411E-2"/>
    <x v="0"/>
    <n v="43"/>
    <n v="82087"/>
    <s v="EUR"/>
    <x v="4"/>
    <x v="6"/>
    <n v="0.2"/>
    <x v="1"/>
    <s v="Indigo"/>
  </r>
  <r>
    <n v="399029670"/>
    <s v="Kenan"/>
    <s v="Male"/>
    <d v="2030-09-25T00:00:00"/>
    <n v="2957"/>
    <n v="30"/>
    <n v="1.01E-2"/>
    <n v="1.0145417653026716E-2"/>
    <x v="1"/>
    <n v="27"/>
    <n v="79839"/>
    <s v="EUR"/>
    <x v="5"/>
    <x v="0"/>
    <n v="0.2"/>
    <x v="0"/>
    <s v="Fuscia"/>
  </r>
  <r>
    <n v="534771778"/>
    <s v="Mirza"/>
    <s v="Male"/>
    <d v="2030-11-10T00:00:00"/>
    <n v="2483"/>
    <n v="34"/>
    <n v="1.37E-2"/>
    <n v="1.369311316955296E-2"/>
    <x v="0"/>
    <n v="25"/>
    <n v="62075"/>
    <s v="EUR"/>
    <x v="6"/>
    <x v="7"/>
    <n v="0.2"/>
    <x v="1"/>
    <s v="Yellow"/>
  </r>
  <r>
    <n v="632357981"/>
    <s v="Ebrar"/>
    <s v="Female"/>
    <d v="2030-07-07T00:00:00"/>
    <n v="4693"/>
    <n v="30"/>
    <n v="6.4000000000000003E-3"/>
    <n v="6.3924994672917108E-3"/>
    <x v="0"/>
    <n v="23"/>
    <n v="107939"/>
    <s v="EUR"/>
    <x v="6"/>
    <x v="8"/>
    <n v="0.2"/>
    <x v="1"/>
    <s v="Turquoise"/>
  </r>
  <r>
    <n v="422928386"/>
    <s v="Semih"/>
    <s v="Male"/>
    <d v="2030-12-18T00:00:00"/>
    <n v="3733"/>
    <n v="48"/>
    <n v="1.29E-2"/>
    <n v="1.2858290918832038E-2"/>
    <x v="0"/>
    <n v="42"/>
    <n v="156786"/>
    <s v="EUR"/>
    <x v="7"/>
    <x v="6"/>
    <n v="0.2"/>
    <x v="1"/>
    <s v="Puce"/>
  </r>
  <r>
    <n v="555759879"/>
    <s v="Sevcan"/>
    <s v="Female"/>
    <d v="2032-02-04T00:00:00"/>
    <n v="1881"/>
    <n v="43"/>
    <n v="2.29E-2"/>
    <n v="2.2860180754917598E-2"/>
    <x v="0"/>
    <n v="27"/>
    <n v="50787"/>
    <s v="EUR"/>
    <x v="8"/>
    <x v="6"/>
    <n v="0.2"/>
    <x v="1"/>
    <s v="Goldenrod"/>
  </r>
  <r>
    <n v="932651065"/>
    <s v="Sevtap"/>
    <s v="Female"/>
    <d v="2030-04-27T00:00:00"/>
    <n v="4159"/>
    <n v="12"/>
    <n v="2.8999999999999998E-3"/>
    <n v="2.8853089685020438E-3"/>
    <x v="0"/>
    <n v="43"/>
    <n v="178837"/>
    <s v="EUR"/>
    <x v="9"/>
    <x v="5"/>
    <n v="0.2"/>
    <x v="1"/>
    <s v="Orange"/>
  </r>
  <r>
    <n v="44262572"/>
    <s v="Kemal"/>
    <s v="Male"/>
    <d v="2031-05-22T00:00:00"/>
    <n v="2950"/>
    <n v="37"/>
    <n v="1.2500000000000001E-2"/>
    <n v="1.2542372881355932E-2"/>
    <x v="0"/>
    <n v="46"/>
    <n v="135700"/>
    <s v="EUR"/>
    <x v="10"/>
    <x v="0"/>
    <n v="0.2"/>
    <x v="1"/>
    <s v="Indigo"/>
  </r>
  <r>
    <n v="895483051"/>
    <s v="Resul"/>
    <s v="Male"/>
    <d v="2030-02-16T00:00:00"/>
    <n v="4533"/>
    <n v="18"/>
    <n v="4.0000000000000001E-3"/>
    <n v="3.9708802117802778E-3"/>
    <x v="0"/>
    <n v="47"/>
    <n v="213051"/>
    <s v="EUR"/>
    <x v="11"/>
    <x v="10"/>
    <n v="0.2"/>
    <x v="0"/>
    <s v="Aquamarine"/>
  </r>
  <r>
    <n v="810685694"/>
    <s v="Beşir"/>
    <s v="Male"/>
    <d v="2030-06-08T00:00:00"/>
    <n v="2718"/>
    <n v="42"/>
    <n v="1.55E-2"/>
    <n v="1.5452538631346579E-2"/>
    <x v="0"/>
    <n v="21"/>
    <n v="57078"/>
    <s v="EUR"/>
    <x v="12"/>
    <x v="0"/>
    <n v="0.2"/>
    <x v="0"/>
    <s v="Crimson"/>
  </r>
  <r>
    <n v="850158395"/>
    <s v="Yusuf"/>
    <s v="Male"/>
    <d v="2032-07-02T00:00:00"/>
    <n v="2743"/>
    <n v="44"/>
    <n v="1.6E-2"/>
    <n v="1.6040831206707983E-2"/>
    <x v="0"/>
    <n v="25"/>
    <n v="68575"/>
    <s v="EUR"/>
    <x v="13"/>
    <x v="2"/>
    <n v="0.2"/>
    <x v="0"/>
    <s v="Mauv"/>
  </r>
  <r>
    <n v="242737187"/>
    <s v="Soner"/>
    <s v="Male"/>
    <d v="2030-02-05T00:00:00"/>
    <n v="2740"/>
    <n v="36"/>
    <n v="1.3100000000000001E-2"/>
    <n v="1.3138686131386862E-2"/>
    <x v="0"/>
    <n v="34"/>
    <n v="93160"/>
    <s v="EUR"/>
    <x v="14"/>
    <x v="9"/>
    <n v="0.2"/>
    <x v="1"/>
    <s v="Goldenrod"/>
  </r>
  <r>
    <n v="789712520"/>
    <s v="Ali"/>
    <s v="Male"/>
    <d v="2030-03-15T00:00:00"/>
    <n v="4756"/>
    <n v="44"/>
    <n v="9.2999999999999992E-3"/>
    <n v="9.2514718250630776E-3"/>
    <x v="0"/>
    <n v="42"/>
    <n v="199752"/>
    <s v="EUR"/>
    <x v="0"/>
    <x v="6"/>
    <n v="0.2"/>
    <x v="1"/>
    <s v="Pink"/>
  </r>
  <r>
    <n v="274736779"/>
    <s v="Hasan"/>
    <s v="Male"/>
    <d v="2031-03-05T00:00:00"/>
    <n v="2311"/>
    <n v="31"/>
    <n v="1.34E-2"/>
    <n v="1.3414106447425357E-2"/>
    <x v="0"/>
    <n v="32"/>
    <n v="73952"/>
    <s v="EUR"/>
    <x v="1"/>
    <x v="4"/>
    <n v="0.2"/>
    <x v="1"/>
    <s v="Fuscia"/>
  </r>
  <r>
    <n v="892878884"/>
    <s v="Hüseyin"/>
    <s v="Male"/>
    <d v="2031-06-22T00:00:00"/>
    <n v="1928"/>
    <n v="47"/>
    <n v="2.4400000000000002E-2"/>
    <n v="2.4377593360995851E-2"/>
    <x v="0"/>
    <n v="22"/>
    <n v="42416"/>
    <s v="EUR"/>
    <x v="2"/>
    <x v="4"/>
    <n v="0.2"/>
    <x v="1"/>
    <s v="Orange"/>
  </r>
  <r>
    <n v="875475958"/>
    <s v="Canan"/>
    <s v="Female"/>
    <d v="2032-12-20T00:00:00"/>
    <n v="2245"/>
    <n v="12"/>
    <n v="5.3E-3"/>
    <n v="5.3452115812917594E-3"/>
    <x v="0"/>
    <n v="25"/>
    <n v="56125"/>
    <s v="EUR"/>
    <x v="3"/>
    <x v="2"/>
    <n v="0.2"/>
    <x v="0"/>
    <s v="Blue"/>
  </r>
  <r>
    <n v="840840587"/>
    <s v="Cansu"/>
    <s v="Female"/>
    <d v="2031-05-21T00:00:00"/>
    <n v="1982"/>
    <n v="16"/>
    <n v="8.0999999999999996E-3"/>
    <n v="8.0726538849646822E-3"/>
    <x v="0"/>
    <n v="27"/>
    <n v="53514"/>
    <s v="EUR"/>
    <x v="4"/>
    <x v="0"/>
    <n v="0.2"/>
    <x v="0"/>
    <s v="Orange"/>
  </r>
  <r>
    <n v="849818593"/>
    <s v="Kenan"/>
    <s v="Male"/>
    <d v="2032-04-17T00:00:00"/>
    <n v="2696"/>
    <n v="26"/>
    <n v="9.5999999999999992E-3"/>
    <n v="9.6439169139465875E-3"/>
    <x v="0"/>
    <n v="24"/>
    <n v="64704"/>
    <s v="EUR"/>
    <x v="5"/>
    <x v="9"/>
    <n v="0.2"/>
    <x v="1"/>
    <s v="Indigo"/>
  </r>
  <r>
    <n v="412753417"/>
    <s v="Mirza"/>
    <s v="Male"/>
    <d v="2030-05-12T00:00:00"/>
    <n v="1535"/>
    <n v="28"/>
    <n v="1.8200000000000001E-2"/>
    <n v="1.8241042345276872E-2"/>
    <x v="0"/>
    <n v="22"/>
    <n v="33770"/>
    <s v="EUR"/>
    <x v="6"/>
    <x v="1"/>
    <n v="0.2"/>
    <x v="0"/>
    <s v="Puce"/>
  </r>
  <r>
    <n v="194968897"/>
    <s v="Ebrar"/>
    <s v="Female"/>
    <d v="2032-08-13T00:00:00"/>
    <n v="3261"/>
    <n v="28"/>
    <n v="8.6E-3"/>
    <n v="8.5863232137381174E-3"/>
    <x v="0"/>
    <n v="32"/>
    <n v="104352"/>
    <s v="EUR"/>
    <x v="6"/>
    <x v="4"/>
    <n v="0.2"/>
    <x v="0"/>
    <s v="Red"/>
  </r>
  <r>
    <n v="554675361"/>
    <s v="Semih"/>
    <s v="Male"/>
    <d v="2032-01-09T00:00:00"/>
    <n v="1849"/>
    <n v="13"/>
    <n v="7.0000000000000001E-3"/>
    <n v="7.0308274743104381E-3"/>
    <x v="0"/>
    <n v="42"/>
    <n v="77658"/>
    <s v="EUR"/>
    <x v="7"/>
    <x v="10"/>
    <n v="0.2"/>
    <x v="0"/>
    <s v="Mauv"/>
  </r>
  <r>
    <n v="405210737"/>
    <s v="Sevcan"/>
    <s v="Female"/>
    <d v="2031-10-24T00:00:00"/>
    <n v="2540"/>
    <n v="44"/>
    <n v="1.7299999999999999E-2"/>
    <n v="1.7322834645669291E-2"/>
    <x v="0"/>
    <n v="30"/>
    <n v="76200"/>
    <s v="EUR"/>
    <x v="8"/>
    <x v="9"/>
    <n v="0.2"/>
    <x v="1"/>
    <s v="Teal"/>
  </r>
  <r>
    <n v="247014845"/>
    <s v="Sevtap"/>
    <s v="Female"/>
    <d v="2030-11-21T00:00:00"/>
    <n v="3214"/>
    <n v="45"/>
    <n v="1.4E-2"/>
    <n v="1.4001244555071561E-2"/>
    <x v="0"/>
    <n v="34"/>
    <n v="109276"/>
    <s v="EUR"/>
    <x v="9"/>
    <x v="4"/>
    <n v="0.2"/>
    <x v="1"/>
    <s v="Mauv"/>
  </r>
  <r>
    <n v="315147821"/>
    <s v="Kemal"/>
    <s v="Male"/>
    <d v="2032-03-27T00:00:00"/>
    <n v="1831"/>
    <n v="40"/>
    <n v="2.18E-2"/>
    <n v="2.1845985800109231E-2"/>
    <x v="0"/>
    <n v="36"/>
    <n v="65916"/>
    <s v="EUR"/>
    <x v="10"/>
    <x v="6"/>
    <n v="0.2"/>
    <x v="0"/>
    <s v="Indigo"/>
  </r>
  <r>
    <n v="793849547"/>
    <s v="Resul"/>
    <s v="Male"/>
    <d v="2032-03-15T00:00:00"/>
    <n v="4653"/>
    <n v="31"/>
    <n v="6.7000000000000002E-3"/>
    <n v="6.6623683644960238E-3"/>
    <x v="0"/>
    <n v="40"/>
    <n v="186120"/>
    <s v="EUR"/>
    <x v="11"/>
    <x v="6"/>
    <n v="0.2"/>
    <x v="0"/>
    <s v="Fuscia"/>
  </r>
  <r>
    <n v="545823990"/>
    <s v="Beşir"/>
    <s v="Male"/>
    <d v="2032-01-01T00:00:00"/>
    <n v="3018"/>
    <n v="15"/>
    <n v="5.0000000000000001E-3"/>
    <n v="4.970178926441352E-3"/>
    <x v="0"/>
    <n v="36"/>
    <n v="108648"/>
    <s v="EUR"/>
    <x v="12"/>
    <x v="2"/>
    <n v="0.2"/>
    <x v="0"/>
    <s v="Teal"/>
  </r>
  <r>
    <n v="135658781"/>
    <s v="Yusuf"/>
    <s v="Male"/>
    <d v="2032-09-28T00:00:00"/>
    <n v="4798"/>
    <n v="40"/>
    <n v="8.3000000000000001E-3"/>
    <n v="8.3368070029178828E-3"/>
    <x v="1"/>
    <n v="24"/>
    <n v="115152"/>
    <s v="EUR"/>
    <x v="13"/>
    <x v="6"/>
    <n v="0.2"/>
    <x v="1"/>
    <s v="Red"/>
  </r>
  <r>
    <n v="100148669"/>
    <s v="Soner"/>
    <s v="Male"/>
    <d v="2031-11-13T00:00:00"/>
    <n v="2430"/>
    <n v="37"/>
    <n v="1.52E-2"/>
    <n v="1.5226337448559672E-2"/>
    <x v="0"/>
    <n v="37"/>
    <n v="89910"/>
    <s v="EUR"/>
    <x v="14"/>
    <x v="3"/>
    <n v="0.2"/>
    <x v="0"/>
    <s v="Khaki"/>
  </r>
  <r>
    <n v="976969735"/>
    <s v="Ali"/>
    <s v="Male"/>
    <d v="2030-12-07T00:00:00"/>
    <n v="1852"/>
    <n v="46"/>
    <n v="2.4799999999999999E-2"/>
    <n v="2.4838012958963283E-2"/>
    <x v="0"/>
    <n v="50"/>
    <n v="92600"/>
    <s v="EUR"/>
    <x v="0"/>
    <x v="2"/>
    <n v="0.2"/>
    <x v="1"/>
    <s v="Green"/>
  </r>
  <r>
    <n v="959683641"/>
    <s v="Hasan"/>
    <s v="Male"/>
    <d v="2031-11-16T00:00:00"/>
    <n v="4753"/>
    <n v="23"/>
    <n v="4.7999999999999996E-3"/>
    <n v="4.8390490216705237E-3"/>
    <x v="0"/>
    <n v="29"/>
    <n v="137837"/>
    <s v="EUR"/>
    <x v="1"/>
    <x v="2"/>
    <n v="0.2"/>
    <x v="0"/>
    <s v="Puce"/>
  </r>
  <r>
    <n v="887655830"/>
    <s v="Hüseyin"/>
    <s v="Male"/>
    <d v="2032-08-05T00:00:00"/>
    <n v="2905"/>
    <n v="22"/>
    <n v="7.6E-3"/>
    <n v="7.5731497418244408E-3"/>
    <x v="1"/>
    <n v="22"/>
    <n v="63910"/>
    <s v="EUR"/>
    <x v="2"/>
    <x v="4"/>
    <n v="0.2"/>
    <x v="1"/>
    <s v="Goldenrod"/>
  </r>
  <r>
    <n v="658212658"/>
    <s v="Canan"/>
    <s v="Female"/>
    <d v="2031-08-25T00:00:00"/>
    <n v="2076"/>
    <n v="33"/>
    <n v="1.5900000000000001E-2"/>
    <n v="1.5895953757225433E-2"/>
    <x v="0"/>
    <n v="33"/>
    <n v="68508"/>
    <s v="EUR"/>
    <x v="3"/>
    <x v="6"/>
    <n v="0.2"/>
    <x v="0"/>
    <s v="Orange"/>
  </r>
  <r>
    <n v="862293746"/>
    <s v="Cansu"/>
    <s v="Female"/>
    <d v="2032-02-21T00:00:00"/>
    <n v="2885"/>
    <n v="21"/>
    <n v="7.3000000000000001E-3"/>
    <n v="7.2790294627383019E-3"/>
    <x v="0"/>
    <n v="26"/>
    <n v="75010"/>
    <s v="EUR"/>
    <x v="4"/>
    <x v="1"/>
    <n v="0.2"/>
    <x v="0"/>
    <s v="Green"/>
  </r>
  <r>
    <n v="586232647"/>
    <s v="Kenan"/>
    <s v="Male"/>
    <d v="2030-07-10T00:00:00"/>
    <n v="3226"/>
    <n v="21"/>
    <n v="6.4999999999999997E-3"/>
    <n v="6.5096094234345942E-3"/>
    <x v="1"/>
    <n v="32"/>
    <n v="103232"/>
    <s v="EUR"/>
    <x v="5"/>
    <x v="0"/>
    <n v="0.2"/>
    <x v="0"/>
    <s v="Mauv"/>
  </r>
  <r>
    <n v="689512243"/>
    <s v="Mirza"/>
    <s v="Male"/>
    <d v="2032-03-03T00:00:00"/>
    <n v="1231"/>
    <n v="45"/>
    <n v="3.6600000000000001E-2"/>
    <n v="3.6555645816409424E-2"/>
    <x v="0"/>
    <n v="36"/>
    <n v="44316"/>
    <s v="EUR"/>
    <x v="6"/>
    <x v="3"/>
    <n v="0.2"/>
    <x v="0"/>
    <s v="Red"/>
  </r>
  <r>
    <n v="19206174"/>
    <s v="Ebrar"/>
    <s v="Female"/>
    <d v="2032-04-02T00:00:00"/>
    <n v="1412"/>
    <n v="27"/>
    <n v="1.9099999999999999E-2"/>
    <n v="1.9121813031161474E-2"/>
    <x v="0"/>
    <n v="28"/>
    <n v="39536"/>
    <s v="EUR"/>
    <x v="6"/>
    <x v="9"/>
    <n v="0.2"/>
    <x v="1"/>
    <s v="Khaki"/>
  </r>
  <r>
    <n v="69316195"/>
    <s v="Semih"/>
    <s v="Male"/>
    <d v="2031-06-23T00:00:00"/>
    <n v="3182"/>
    <n v="42"/>
    <n v="1.32E-2"/>
    <n v="1.3199245757385292E-2"/>
    <x v="1"/>
    <n v="33"/>
    <n v="105006"/>
    <s v="EUR"/>
    <x v="7"/>
    <x v="5"/>
    <n v="0.2"/>
    <x v="0"/>
    <s v="Red"/>
  </r>
  <r>
    <n v="913749424"/>
    <s v="Sevcan"/>
    <s v="Female"/>
    <d v="2031-03-08T00:00:00"/>
    <n v="2838"/>
    <n v="47"/>
    <n v="1.66E-2"/>
    <n v="1.6560958421423539E-2"/>
    <x v="0"/>
    <n v="36"/>
    <n v="102168"/>
    <s v="EUR"/>
    <x v="8"/>
    <x v="8"/>
    <n v="0.2"/>
    <x v="0"/>
    <s v="Green"/>
  </r>
  <r>
    <n v="717171461"/>
    <s v="Sevtap"/>
    <s v="Female"/>
    <d v="2030-07-31T00:00:00"/>
    <n v="3102"/>
    <n v="22"/>
    <n v="7.1000000000000004E-3"/>
    <n v="7.0921985815602835E-3"/>
    <x v="0"/>
    <n v="45"/>
    <n v="139590"/>
    <s v="EUR"/>
    <x v="9"/>
    <x v="5"/>
    <n v="0.2"/>
    <x v="1"/>
    <s v="Khaki"/>
  </r>
  <r>
    <n v="796000032"/>
    <s v="Kemal"/>
    <s v="Male"/>
    <d v="2030-02-06T00:00:00"/>
    <n v="4996"/>
    <n v="33"/>
    <n v="6.6E-3"/>
    <n v="6.6052842273819053E-3"/>
    <x v="0"/>
    <n v="31"/>
    <n v="154876"/>
    <s v="EUR"/>
    <x v="10"/>
    <x v="8"/>
    <n v="0.2"/>
    <x v="0"/>
    <s v="Khaki"/>
  </r>
  <r>
    <n v="507230386"/>
    <s v="Resul"/>
    <s v="Male"/>
    <d v="2031-05-01T00:00:00"/>
    <n v="4300"/>
    <n v="31"/>
    <n v="7.1999999999999998E-3"/>
    <n v="7.2093023255813951E-3"/>
    <x v="1"/>
    <n v="46"/>
    <n v="197800"/>
    <s v="EUR"/>
    <x v="11"/>
    <x v="10"/>
    <n v="0.2"/>
    <x v="1"/>
    <s v="Turquoise"/>
  </r>
  <r>
    <n v="880357454"/>
    <s v="Hüseyin"/>
    <s v="Male"/>
    <d v="2030-03-17T00:00:00"/>
    <n v="2144"/>
    <n v="49"/>
    <n v="2.29E-2"/>
    <n v="2.2854477611940299E-2"/>
    <x v="0"/>
    <n v="39"/>
    <n v="83616"/>
    <s v="EUR"/>
    <x v="12"/>
    <x v="8"/>
    <n v="0.2"/>
    <x v="0"/>
    <s v="Maroon"/>
  </r>
  <r>
    <n v="491896746"/>
    <s v="Canan"/>
    <s v="Female"/>
    <d v="2030-03-16T00:00:00"/>
    <n v="3742"/>
    <n v="23"/>
    <n v="6.1000000000000004E-3"/>
    <n v="6.1464457509353291E-3"/>
    <x v="0"/>
    <n v="35"/>
    <n v="130970"/>
    <s v="EUR"/>
    <x v="13"/>
    <x v="3"/>
    <n v="0.2"/>
    <x v="0"/>
    <s v="Crimson"/>
  </r>
  <r>
    <n v="137250456"/>
    <s v="Cansu"/>
    <s v="Female"/>
    <d v="2031-06-21T00:00:00"/>
    <n v="1372"/>
    <n v="43"/>
    <n v="3.1300000000000001E-2"/>
    <n v="3.134110787172012E-2"/>
    <x v="0"/>
    <n v="42"/>
    <n v="57624"/>
    <s v="EUR"/>
    <x v="14"/>
    <x v="10"/>
    <n v="0.2"/>
    <x v="1"/>
    <s v="Orange"/>
  </r>
  <r>
    <n v="832251704"/>
    <s v="Kenan"/>
    <s v="Male"/>
    <d v="2030-05-05T00:00:00"/>
    <n v="1024"/>
    <n v="11"/>
    <n v="1.0699999999999999E-2"/>
    <n v="1.07421875E-2"/>
    <x v="0"/>
    <n v="23"/>
    <n v="23552"/>
    <s v="EUR"/>
    <x v="0"/>
    <x v="2"/>
    <n v="0.2"/>
    <x v="0"/>
    <s v="Violet"/>
  </r>
  <r>
    <n v="864362796"/>
    <s v="Mirza"/>
    <s v="Male"/>
    <d v="2030-05-01T00:00:00"/>
    <n v="2200"/>
    <n v="24"/>
    <n v="1.09E-2"/>
    <n v="1.090909090909091E-2"/>
    <x v="0"/>
    <n v="20"/>
    <n v="44000"/>
    <s v="EUR"/>
    <x v="1"/>
    <x v="5"/>
    <n v="0.2"/>
    <x v="0"/>
    <s v="Pink"/>
  </r>
  <r>
    <n v="772090522"/>
    <s v="Ebrar"/>
    <s v="Female"/>
    <d v="2030-05-12T00:00:00"/>
    <n v="2896"/>
    <n v="15"/>
    <n v="5.1999999999999998E-3"/>
    <n v="5.1795580110497235E-3"/>
    <x v="0"/>
    <n v="36"/>
    <n v="104256"/>
    <s v="EUR"/>
    <x v="2"/>
    <x v="3"/>
    <n v="0.2"/>
    <x v="1"/>
    <s v="Khaki"/>
  </r>
  <r>
    <n v="508887782"/>
    <s v="Semih"/>
    <s v="Male"/>
    <d v="2031-10-03T00:00:00"/>
    <n v="2118"/>
    <n v="27"/>
    <n v="1.2699999999999999E-2"/>
    <n v="1.2747875354107648E-2"/>
    <x v="0"/>
    <n v="40"/>
    <n v="84720"/>
    <s v="EUR"/>
    <x v="3"/>
    <x v="3"/>
    <n v="0.2"/>
    <x v="0"/>
    <s v="Mauv"/>
  </r>
  <r>
    <n v="494227728"/>
    <s v="Sevcan"/>
    <s v="Female"/>
    <d v="2032-06-16T00:00:00"/>
    <n v="4155"/>
    <n v="42"/>
    <n v="1.01E-2"/>
    <n v="1.0108303249097473E-2"/>
    <x v="0"/>
    <n v="24"/>
    <n v="99720"/>
    <s v="EUR"/>
    <x v="4"/>
    <x v="5"/>
    <n v="0.2"/>
    <x v="1"/>
    <s v="Violet"/>
  </r>
  <r>
    <n v="706318546"/>
    <s v="Sevtap"/>
    <s v="Female"/>
    <d v="2030-07-18T00:00:00"/>
    <n v="1381"/>
    <n v="34"/>
    <n v="2.46E-2"/>
    <n v="2.4619840695148443E-2"/>
    <x v="0"/>
    <n v="43"/>
    <n v="59383"/>
    <s v="EUR"/>
    <x v="5"/>
    <x v="10"/>
    <n v="0.2"/>
    <x v="0"/>
    <s v="Aquamarine"/>
  </r>
  <r>
    <n v="170967130"/>
    <s v="Kemal"/>
    <s v="Male"/>
    <d v="2030-01-03T00:00:00"/>
    <n v="1782"/>
    <n v="24"/>
    <n v="1.35E-2"/>
    <n v="1.3468013468013467E-2"/>
    <x v="0"/>
    <n v="47"/>
    <n v="83754"/>
    <s v="EUR"/>
    <x v="6"/>
    <x v="4"/>
    <n v="0.2"/>
    <x v="1"/>
    <s v="Turquoise"/>
  </r>
  <r>
    <n v="222237286"/>
    <s v="Resul"/>
    <s v="Male"/>
    <d v="2031-01-22T00:00:00"/>
    <n v="2784"/>
    <n v="29"/>
    <n v="1.04E-2"/>
    <n v="1.0416666666666666E-2"/>
    <x v="0"/>
    <n v="43"/>
    <n v="119712"/>
    <s v="EUR"/>
    <x v="6"/>
    <x v="9"/>
    <n v="0.2"/>
    <x v="0"/>
    <s v="Orange"/>
  </r>
  <r>
    <n v="388396708"/>
    <s v="Beşir"/>
    <s v="Male"/>
    <d v="2031-08-14T00:00:00"/>
    <n v="3832"/>
    <n v="36"/>
    <n v="9.4000000000000004E-3"/>
    <n v="9.3945720250521916E-3"/>
    <x v="0"/>
    <n v="26"/>
    <n v="99632"/>
    <s v="EUR"/>
    <x v="7"/>
    <x v="0"/>
    <n v="0.2"/>
    <x v="1"/>
    <s v="Blue"/>
  </r>
  <r>
    <n v="989262715"/>
    <s v="Yusuf"/>
    <s v="Male"/>
    <d v="2032-02-26T00:00:00"/>
    <n v="2001"/>
    <n v="12"/>
    <n v="6.0000000000000001E-3"/>
    <n v="5.9970014992503746E-3"/>
    <x v="0"/>
    <n v="32"/>
    <n v="64032"/>
    <s v="EUR"/>
    <x v="8"/>
    <x v="10"/>
    <n v="0.2"/>
    <x v="0"/>
    <s v="Green"/>
  </r>
  <r>
    <n v="189824085"/>
    <s v="Soner"/>
    <s v="Male"/>
    <d v="2030-02-20T00:00:00"/>
    <n v="1502"/>
    <n v="49"/>
    <n v="3.2599999999999997E-2"/>
    <n v="3.262316910785619E-2"/>
    <x v="0"/>
    <n v="35"/>
    <n v="52570"/>
    <s v="EUR"/>
    <x v="9"/>
    <x v="10"/>
    <n v="0.2"/>
    <x v="1"/>
    <s v="Red"/>
  </r>
  <r>
    <n v="215301051"/>
    <s v="Ali"/>
    <s v="Male"/>
    <d v="2030-08-29T00:00:00"/>
    <n v="3928"/>
    <n v="22"/>
    <n v="5.5999999999999999E-3"/>
    <n v="5.6008146639511197E-3"/>
    <x v="0"/>
    <n v="33"/>
    <n v="129624"/>
    <s v="EUR"/>
    <x v="10"/>
    <x v="7"/>
    <n v="0.2"/>
    <x v="1"/>
    <s v="Maroon"/>
  </r>
  <r>
    <n v="485172201"/>
    <s v="Hasan"/>
    <s v="Male"/>
    <d v="2032-08-07T00:00:00"/>
    <n v="3216"/>
    <n v="44"/>
    <n v="1.37E-2"/>
    <n v="1.3681592039800995E-2"/>
    <x v="0"/>
    <n v="38"/>
    <n v="122208"/>
    <s v="EUR"/>
    <x v="11"/>
    <x v="5"/>
    <n v="0.2"/>
    <x v="1"/>
    <s v="Fuscia"/>
  </r>
  <r>
    <n v="117244218"/>
    <s v="Hüseyin"/>
    <s v="Male"/>
    <d v="2030-04-02T00:00:00"/>
    <n v="2807"/>
    <n v="45"/>
    <n v="1.6E-2"/>
    <n v="1.6031350195938723E-2"/>
    <x v="0"/>
    <n v="22"/>
    <n v="61754"/>
    <s v="EUR"/>
    <x v="12"/>
    <x v="9"/>
    <n v="0.2"/>
    <x v="0"/>
    <s v="Indigo"/>
  </r>
  <r>
    <n v="78101857"/>
    <s v="Canan"/>
    <s v="Female"/>
    <d v="2032-05-16T00:00:00"/>
    <n v="2547"/>
    <n v="27"/>
    <n v="1.06E-2"/>
    <n v="1.0600706713780919E-2"/>
    <x v="1"/>
    <n v="36"/>
    <n v="91692"/>
    <s v="EUR"/>
    <x v="13"/>
    <x v="4"/>
    <n v="0.2"/>
    <x v="1"/>
    <s v="Khaki"/>
  </r>
  <r>
    <n v="382903165"/>
    <s v="Cansu"/>
    <s v="Female"/>
    <d v="2031-10-11T00:00:00"/>
    <n v="2055"/>
    <n v="20"/>
    <n v="9.7000000000000003E-3"/>
    <n v="9.7323600973236012E-3"/>
    <x v="0"/>
    <n v="27"/>
    <n v="55485"/>
    <s v="EUR"/>
    <x v="14"/>
    <x v="7"/>
    <n v="0.2"/>
    <x v="1"/>
    <s v="Puce"/>
  </r>
  <r>
    <n v="875532262"/>
    <s v="Kenan"/>
    <s v="Male"/>
    <d v="2030-07-29T00:00:00"/>
    <n v="3338"/>
    <n v="25"/>
    <n v="7.4999999999999997E-3"/>
    <n v="7.4895146794487716E-3"/>
    <x v="1"/>
    <n v="47"/>
    <n v="156886"/>
    <s v="EUR"/>
    <x v="0"/>
    <x v="0"/>
    <n v="0.2"/>
    <x v="0"/>
    <s v="Yellow"/>
  </r>
  <r>
    <n v="628534554"/>
    <s v="Mirza"/>
    <s v="Male"/>
    <d v="2031-04-09T00:00:00"/>
    <n v="4470"/>
    <n v="50"/>
    <n v="1.12E-2"/>
    <n v="1.1185682326621925E-2"/>
    <x v="0"/>
    <n v="50"/>
    <n v="223500"/>
    <s v="EUR"/>
    <x v="1"/>
    <x v="3"/>
    <n v="0.2"/>
    <x v="0"/>
    <s v="Teal"/>
  </r>
  <r>
    <n v="777530942"/>
    <s v="Ebrar"/>
    <s v="Female"/>
    <d v="2031-07-05T00:00:00"/>
    <n v="2981"/>
    <n v="46"/>
    <n v="1.54E-2"/>
    <n v="1.5431063401543106E-2"/>
    <x v="0"/>
    <n v="50"/>
    <n v="149050"/>
    <s v="EUR"/>
    <x v="2"/>
    <x v="6"/>
    <n v="0.2"/>
    <x v="1"/>
    <s v="Maroon"/>
  </r>
  <r>
    <n v="852960901"/>
    <s v="Semih"/>
    <s v="Male"/>
    <d v="2030-09-12T00:00:00"/>
    <n v="4667"/>
    <n v="20"/>
    <n v="4.3E-3"/>
    <n v="4.2854081851296339E-3"/>
    <x v="1"/>
    <n v="32"/>
    <n v="149344"/>
    <s v="EUR"/>
    <x v="3"/>
    <x v="3"/>
    <n v="0.2"/>
    <x v="1"/>
    <s v="Violet"/>
  </r>
  <r>
    <n v="339753395"/>
    <s v="Sevcan"/>
    <s v="Female"/>
    <d v="2032-05-01T00:00:00"/>
    <n v="4852"/>
    <n v="44"/>
    <n v="9.1000000000000004E-3"/>
    <n v="9.0684253915910961E-3"/>
    <x v="0"/>
    <n v="35"/>
    <n v="169820"/>
    <s v="EUR"/>
    <x v="4"/>
    <x v="2"/>
    <n v="0.2"/>
    <x v="1"/>
    <s v="Orange"/>
  </r>
  <r>
    <n v="903555313"/>
    <s v="Sevtap"/>
    <s v="Female"/>
    <d v="2031-09-05T00:00:00"/>
    <n v="3301"/>
    <n v="22"/>
    <n v="6.7000000000000002E-3"/>
    <n v="6.6646470766434417E-3"/>
    <x v="0"/>
    <n v="26"/>
    <n v="85826"/>
    <s v="EUR"/>
    <x v="5"/>
    <x v="1"/>
    <n v="0.2"/>
    <x v="0"/>
    <s v="Turquoise"/>
  </r>
  <r>
    <n v="834660216"/>
    <s v="Kemal"/>
    <s v="Male"/>
    <d v="2031-08-17T00:00:00"/>
    <n v="3828"/>
    <n v="41"/>
    <n v="1.0699999999999999E-2"/>
    <n v="1.0710553814002089E-2"/>
    <x v="0"/>
    <n v="20"/>
    <n v="76560"/>
    <s v="EUR"/>
    <x v="6"/>
    <x v="3"/>
    <n v="0.2"/>
    <x v="0"/>
    <s v="Indigo"/>
  </r>
  <r>
    <n v="990112929"/>
    <s v="Resul"/>
    <s v="Male"/>
    <d v="2030-08-31T00:00:00"/>
    <n v="1789"/>
    <n v="10"/>
    <n v="5.5999999999999999E-3"/>
    <n v="5.5897149245388482E-3"/>
    <x v="0"/>
    <n v="43"/>
    <n v="76927"/>
    <s v="EUR"/>
    <x v="6"/>
    <x v="8"/>
    <n v="0.2"/>
    <x v="0"/>
    <s v="Red"/>
  </r>
  <r>
    <n v="294891051"/>
    <s v="Beşir"/>
    <s v="Male"/>
    <d v="2031-07-11T00:00:00"/>
    <n v="3669"/>
    <n v="35"/>
    <n v="9.4999999999999998E-3"/>
    <n v="9.5393840283455981E-3"/>
    <x v="0"/>
    <n v="29"/>
    <n v="106401"/>
    <s v="EUR"/>
    <x v="7"/>
    <x v="5"/>
    <n v="0.2"/>
    <x v="0"/>
    <s v="Mauv"/>
  </r>
  <r>
    <n v="784360546"/>
    <s v="Yusuf"/>
    <s v="Male"/>
    <d v="2030-01-21T00:00:00"/>
    <n v="4414"/>
    <n v="13"/>
    <n v="2.8999999999999998E-3"/>
    <n v="2.9451744449478933E-3"/>
    <x v="0"/>
    <n v="47"/>
    <n v="207458"/>
    <s v="EUR"/>
    <x v="8"/>
    <x v="6"/>
    <n v="0.2"/>
    <x v="1"/>
    <s v="Goldenrod"/>
  </r>
  <r>
    <n v="70005738"/>
    <s v="Soner"/>
    <s v="Male"/>
    <d v="2030-07-08T00:00:00"/>
    <n v="2696"/>
    <n v="32"/>
    <n v="1.1900000000000001E-2"/>
    <n v="1.1869436201780416E-2"/>
    <x v="0"/>
    <n v="40"/>
    <n v="107840"/>
    <s v="EUR"/>
    <x v="9"/>
    <x v="2"/>
    <n v="0.2"/>
    <x v="0"/>
    <s v="Turquoise"/>
  </r>
  <r>
    <n v="418994030"/>
    <s v="Ali"/>
    <s v="Male"/>
    <d v="2031-06-28T00:00:00"/>
    <n v="4920"/>
    <n v="11"/>
    <n v="2.2000000000000001E-3"/>
    <n v="2.2357723577235773E-3"/>
    <x v="0"/>
    <n v="25"/>
    <n v="123000"/>
    <s v="EUR"/>
    <x v="10"/>
    <x v="4"/>
    <n v="0.2"/>
    <x v="0"/>
    <s v="Aquamarine"/>
  </r>
  <r>
    <n v="8533251"/>
    <s v="Hasan"/>
    <s v="Male"/>
    <d v="2031-05-06T00:00:00"/>
    <n v="1567"/>
    <n v="38"/>
    <n v="2.4299999999999999E-2"/>
    <n v="2.4250159540523293E-2"/>
    <x v="0"/>
    <n v="22"/>
    <n v="34474"/>
    <s v="EUR"/>
    <x v="11"/>
    <x v="7"/>
    <n v="0.2"/>
    <x v="1"/>
    <s v="Teal"/>
  </r>
  <r>
    <n v="904070479"/>
    <s v="Hüseyin"/>
    <s v="Male"/>
    <d v="2030-06-25T00:00:00"/>
    <n v="1620"/>
    <n v="34"/>
    <n v="2.1000000000000001E-2"/>
    <n v="2.0987654320987655E-2"/>
    <x v="0"/>
    <n v="36"/>
    <n v="58320"/>
    <s v="EUR"/>
    <x v="12"/>
    <x v="3"/>
    <n v="0.2"/>
    <x v="0"/>
    <s v="Khaki"/>
  </r>
  <r>
    <n v="799141211"/>
    <s v="Canan"/>
    <s v="Female"/>
    <d v="2030-12-27T00:00:00"/>
    <n v="3327"/>
    <n v="48"/>
    <n v="1.44E-2"/>
    <n v="1.4427412082957619E-2"/>
    <x v="0"/>
    <n v="41"/>
    <n v="136407"/>
    <s v="EUR"/>
    <x v="13"/>
    <x v="9"/>
    <n v="0.2"/>
    <x v="0"/>
    <s v="Green"/>
  </r>
  <r>
    <n v="813713175"/>
    <s v="Cansu"/>
    <s v="Female"/>
    <d v="2030-08-17T00:00:00"/>
    <n v="2115"/>
    <n v="14"/>
    <n v="6.6E-3"/>
    <n v="6.6193853427895981E-3"/>
    <x v="0"/>
    <n v="28"/>
    <n v="59220"/>
    <s v="EUR"/>
    <x v="14"/>
    <x v="10"/>
    <n v="0.2"/>
    <x v="0"/>
    <s v="Orange"/>
  </r>
  <r>
    <n v="367267993"/>
    <s v="Kenan"/>
    <s v="Male"/>
    <d v="2030-09-29T00:00:00"/>
    <n v="4441"/>
    <n v="48"/>
    <n v="1.0800000000000001E-2"/>
    <n v="1.0808376491781131E-2"/>
    <x v="0"/>
    <n v="38"/>
    <n v="168758"/>
    <s v="EUR"/>
    <x v="0"/>
    <x v="1"/>
    <n v="0.2"/>
    <x v="1"/>
    <s v="Teal"/>
  </r>
  <r>
    <n v="541779080"/>
    <s v="Mirza"/>
    <s v="Male"/>
    <d v="2032-05-15T00:00:00"/>
    <n v="2572"/>
    <n v="36"/>
    <n v="1.4E-2"/>
    <n v="1.3996889580093312E-2"/>
    <x v="0"/>
    <n v="36"/>
    <n v="92592"/>
    <s v="EUR"/>
    <x v="1"/>
    <x v="1"/>
    <n v="0.2"/>
    <x v="1"/>
    <s v="Goldenrod"/>
  </r>
  <r>
    <n v="595505370"/>
    <s v="Ebrar"/>
    <s v="Female"/>
    <d v="2032-10-06T00:00:00"/>
    <n v="1850"/>
    <n v="17"/>
    <n v="9.1999999999999998E-3"/>
    <n v="9.189189189189189E-3"/>
    <x v="0"/>
    <n v="36"/>
    <n v="66600"/>
    <s v="EUR"/>
    <x v="2"/>
    <x v="1"/>
    <n v="0.2"/>
    <x v="0"/>
    <s v="Maroon"/>
  </r>
  <r>
    <n v="170519340"/>
    <s v="Semih"/>
    <s v="Male"/>
    <d v="2030-11-26T00:00:00"/>
    <n v="1158"/>
    <n v="29"/>
    <n v="2.5000000000000001E-2"/>
    <n v="2.5043177892918825E-2"/>
    <x v="0"/>
    <n v="34"/>
    <n v="39372"/>
    <s v="EUR"/>
    <x v="3"/>
    <x v="1"/>
    <n v="0.2"/>
    <x v="1"/>
    <s v="Orange"/>
  </r>
  <r>
    <n v="436761514"/>
    <s v="Sevcan"/>
    <s v="Female"/>
    <d v="2030-05-19T00:00:00"/>
    <n v="1061"/>
    <n v="12"/>
    <n v="1.1299999999999999E-2"/>
    <n v="1.1310084825636193E-2"/>
    <x v="0"/>
    <n v="20"/>
    <n v="21220"/>
    <s v="EUR"/>
    <x v="4"/>
    <x v="10"/>
    <n v="0.2"/>
    <x v="0"/>
    <s v="Pink"/>
  </r>
  <r>
    <n v="994834543"/>
    <s v="Sevtap"/>
    <s v="Female"/>
    <d v="2030-06-07T00:00:00"/>
    <n v="1167"/>
    <n v="16"/>
    <n v="1.37E-2"/>
    <n v="1.3710368466152529E-2"/>
    <x v="0"/>
    <n v="23"/>
    <n v="26841"/>
    <s v="EUR"/>
    <x v="5"/>
    <x v="1"/>
    <n v="0.2"/>
    <x v="0"/>
    <s v="Orange"/>
  </r>
  <r>
    <n v="398827941"/>
    <s v="Kemal"/>
    <s v="Male"/>
    <d v="2030-06-19T00:00:00"/>
    <n v="3361"/>
    <n v="44"/>
    <n v="1.3100000000000001E-2"/>
    <n v="1.309134186254091E-2"/>
    <x v="1"/>
    <n v="43"/>
    <n v="144523"/>
    <s v="EUR"/>
    <x v="6"/>
    <x v="1"/>
    <n v="0.2"/>
    <x v="1"/>
    <s v="Pink"/>
  </r>
  <r>
    <n v="615915432"/>
    <s v="Resul"/>
    <s v="Male"/>
    <d v="2030-12-07T00:00:00"/>
    <n v="3981"/>
    <n v="35"/>
    <n v="8.8000000000000005E-3"/>
    <n v="8.7917608641044972E-3"/>
    <x v="0"/>
    <n v="30"/>
    <n v="119430"/>
    <s v="EUR"/>
    <x v="6"/>
    <x v="5"/>
    <n v="0.2"/>
    <x v="1"/>
    <s v="Red"/>
  </r>
  <r>
    <n v="870446138"/>
    <s v="Hüseyin"/>
    <s v="Male"/>
    <d v="2032-12-17T00:00:00"/>
    <n v="2863"/>
    <n v="41"/>
    <n v="1.43E-2"/>
    <n v="1.4320642682500873E-2"/>
    <x v="0"/>
    <n v="42"/>
    <n v="120246"/>
    <s v="EUR"/>
    <x v="7"/>
    <x v="10"/>
    <n v="0.2"/>
    <x v="1"/>
    <s v="Green"/>
  </r>
  <r>
    <n v="988933566"/>
    <s v="Canan"/>
    <s v="Female"/>
    <d v="2031-04-20T00:00:00"/>
    <n v="2640"/>
    <n v="23"/>
    <n v="8.6999999999999994E-3"/>
    <n v="8.7121212121212127E-3"/>
    <x v="1"/>
    <n v="46"/>
    <n v="121440"/>
    <s v="EUR"/>
    <x v="8"/>
    <x v="7"/>
    <n v="0.2"/>
    <x v="0"/>
    <s v="Aquamarine"/>
  </r>
  <r>
    <n v="897086617"/>
    <s v="Cansu"/>
    <s v="Female"/>
    <d v="2030-10-28T00:00:00"/>
    <n v="1114"/>
    <n v="25"/>
    <n v="2.24E-2"/>
    <n v="2.244165170556553E-2"/>
    <x v="0"/>
    <n v="41"/>
    <n v="45674"/>
    <s v="EUR"/>
    <x v="9"/>
    <x v="3"/>
    <n v="0.2"/>
    <x v="0"/>
    <s v="Puce"/>
  </r>
  <r>
    <n v="420963932"/>
    <s v="Kenan"/>
    <s v="Male"/>
    <d v="2031-08-31T00:00:00"/>
    <n v="3559"/>
    <n v="28"/>
    <n v="7.9000000000000008E-3"/>
    <n v="7.8673784771003084E-3"/>
    <x v="0"/>
    <n v="29"/>
    <n v="103211"/>
    <s v="EUR"/>
    <x v="10"/>
    <x v="5"/>
    <n v="0.2"/>
    <x v="1"/>
    <s v="Orange"/>
  </r>
  <r>
    <n v="404289447"/>
    <s v="Mirza"/>
    <s v="Male"/>
    <d v="2031-07-28T00:00:00"/>
    <n v="2173"/>
    <n v="17"/>
    <n v="7.7999999999999996E-3"/>
    <n v="7.8232857800276112E-3"/>
    <x v="0"/>
    <n v="32"/>
    <n v="69536"/>
    <s v="EUR"/>
    <x v="11"/>
    <x v="1"/>
    <n v="0.2"/>
    <x v="0"/>
    <s v="Blue"/>
  </r>
  <r>
    <n v="294113691"/>
    <s v="Ebrar"/>
    <s v="Female"/>
    <d v="2030-05-07T00:00:00"/>
    <n v="4793"/>
    <n v="34"/>
    <n v="7.1000000000000004E-3"/>
    <n v="7.0936782808262051E-3"/>
    <x v="0"/>
    <n v="22"/>
    <n v="105446"/>
    <s v="EUR"/>
    <x v="12"/>
    <x v="7"/>
    <n v="0.2"/>
    <x v="0"/>
    <s v="Purple"/>
  </r>
  <r>
    <n v="615647651"/>
    <s v="Semih"/>
    <s v="Male"/>
    <d v="2031-03-16T00:00:00"/>
    <n v="2721"/>
    <n v="25"/>
    <n v="9.1999999999999998E-3"/>
    <n v="9.1877986034546114E-3"/>
    <x v="1"/>
    <n v="50"/>
    <n v="136050"/>
    <s v="EUR"/>
    <x v="13"/>
    <x v="0"/>
    <n v="0.2"/>
    <x v="1"/>
    <s v="Fuscia"/>
  </r>
  <r>
    <n v="770748172"/>
    <s v="Sevcan"/>
    <s v="Female"/>
    <d v="2031-08-23T00:00:00"/>
    <n v="3502"/>
    <n v="22"/>
    <n v="6.3E-3"/>
    <n v="6.2821245002855509E-3"/>
    <x v="0"/>
    <n v="34"/>
    <n v="119068"/>
    <s v="EUR"/>
    <x v="14"/>
    <x v="2"/>
    <n v="0.2"/>
    <x v="0"/>
    <s v="Mauv"/>
  </r>
  <r>
    <n v="738174780"/>
    <s v="Sevtap"/>
    <s v="Female"/>
    <d v="2031-08-08T00:00:00"/>
    <n v="2201"/>
    <n v="30"/>
    <n v="1.3599999999999999E-2"/>
    <n v="1.3630168105406633E-2"/>
    <x v="1"/>
    <n v="42"/>
    <n v="92442"/>
    <s v="EUR"/>
    <x v="0"/>
    <x v="4"/>
    <n v="0.2"/>
    <x v="0"/>
    <s v="Maroon"/>
  </r>
  <r>
    <n v="550422280"/>
    <s v="Kemal"/>
    <s v="Male"/>
    <d v="2031-10-11T00:00:00"/>
    <n v="1962"/>
    <n v="22"/>
    <n v="1.12E-2"/>
    <n v="1.1213047910295617E-2"/>
    <x v="0"/>
    <n v="46"/>
    <n v="90252"/>
    <s v="EUR"/>
    <x v="1"/>
    <x v="2"/>
    <n v="0.2"/>
    <x v="0"/>
    <s v="Blue"/>
  </r>
  <r>
    <n v="92418823"/>
    <s v="Resul"/>
    <s v="Male"/>
    <d v="2030-05-03T00:00:00"/>
    <n v="1032"/>
    <n v="47"/>
    <n v="4.5499999999999999E-2"/>
    <n v="4.5542635658914726E-2"/>
    <x v="0"/>
    <n v="34"/>
    <n v="35088"/>
    <s v="EUR"/>
    <x v="2"/>
    <x v="10"/>
    <n v="0.2"/>
    <x v="1"/>
    <s v="Yellow"/>
  </r>
  <r>
    <n v="505860727"/>
    <s v="Beşir"/>
    <s v="Male"/>
    <d v="2031-04-29T00:00:00"/>
    <n v="4068"/>
    <n v="34"/>
    <n v="8.3999999999999995E-3"/>
    <n v="8.3579154375614546E-3"/>
    <x v="0"/>
    <n v="24"/>
    <n v="97632"/>
    <s v="EUR"/>
    <x v="3"/>
    <x v="3"/>
    <n v="0.2"/>
    <x v="0"/>
    <s v="Maroon"/>
  </r>
  <r>
    <n v="819158728"/>
    <s v="Yusuf"/>
    <s v="Male"/>
    <d v="2030-11-19T00:00:00"/>
    <n v="2466"/>
    <n v="46"/>
    <n v="1.8700000000000001E-2"/>
    <n v="1.8653690186536901E-2"/>
    <x v="0"/>
    <n v="27"/>
    <n v="66582"/>
    <s v="EUR"/>
    <x v="4"/>
    <x v="2"/>
    <n v="0.2"/>
    <x v="0"/>
    <s v="Goldenrod"/>
  </r>
  <r>
    <n v="801905318"/>
    <s v="Soner"/>
    <s v="Male"/>
    <d v="2031-09-22T00:00:00"/>
    <n v="2331"/>
    <n v="24"/>
    <n v="1.03E-2"/>
    <n v="1.0296010296010296E-2"/>
    <x v="0"/>
    <n v="44"/>
    <n v="102564"/>
    <s v="EUR"/>
    <x v="5"/>
    <x v="7"/>
    <n v="0.2"/>
    <x v="0"/>
    <s v="Crimson"/>
  </r>
  <r>
    <n v="295419417"/>
    <s v="Ali"/>
    <s v="Male"/>
    <d v="2030-11-08T00:00:00"/>
    <n v="2734"/>
    <n v="27"/>
    <n v="9.9000000000000008E-3"/>
    <n v="9.8756400877834678E-3"/>
    <x v="0"/>
    <n v="30"/>
    <n v="82020"/>
    <s v="EUR"/>
    <x v="6"/>
    <x v="1"/>
    <n v="0.2"/>
    <x v="1"/>
    <s v="Orange"/>
  </r>
  <r>
    <n v="132039419"/>
    <s v="Hasan"/>
    <s v="Male"/>
    <d v="2031-01-02T00:00:00"/>
    <n v="2042"/>
    <n v="13"/>
    <n v="6.4000000000000003E-3"/>
    <n v="6.3663075416258569E-3"/>
    <x v="0"/>
    <n v="37"/>
    <n v="75554"/>
    <s v="EUR"/>
    <x v="6"/>
    <x v="3"/>
    <n v="0.2"/>
    <x v="1"/>
    <s v="Goldenr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13E0B-0675-475F-AB16-20C2A870B60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7">
    <pivotField showAll="0"/>
    <pivotField showAll="0"/>
    <pivotField showAll="0"/>
    <pivotField numFmtId="14" showAll="0"/>
    <pivotField showAll="0"/>
    <pivotField showAll="0"/>
    <pivotField dataField="1" numFmtId="10" showAll="0"/>
    <pivotField numFmtId="10" showAll="0"/>
    <pivotField showAll="0">
      <items count="6">
        <item x="3"/>
        <item x="2"/>
        <item x="0"/>
        <item x="1"/>
        <item x="4"/>
        <item t="default"/>
      </items>
    </pivotField>
    <pivotField showAll="0"/>
    <pivotField showAll="0"/>
    <pivotField showAll="0"/>
    <pivotField showAll="0">
      <items count="16">
        <item x="0"/>
        <item x="13"/>
        <item x="9"/>
        <item x="11"/>
        <item x="1"/>
        <item x="14"/>
        <item x="10"/>
        <item x="6"/>
        <item x="8"/>
        <item x="12"/>
        <item x="5"/>
        <item x="3"/>
        <item x="4"/>
        <item x="7"/>
        <item x="2"/>
        <item t="default"/>
      </items>
    </pivotField>
    <pivotField showAll="0">
      <items count="12">
        <item x="4"/>
        <item x="7"/>
        <item x="2"/>
        <item x="5"/>
        <item x="1"/>
        <item x="6"/>
        <item x="10"/>
        <item x="0"/>
        <item x="8"/>
        <item x="3"/>
        <item x="9"/>
        <item t="default"/>
      </items>
    </pivotField>
    <pivotField showAll="0"/>
    <pivotField showAll="0">
      <items count="3">
        <item x="1"/>
        <item x="0"/>
        <item t="default"/>
      </items>
    </pivotField>
    <pivotField showAll="0"/>
  </pivotFields>
  <rowItems count="1">
    <i/>
  </rowItems>
  <colItems count="1">
    <i/>
  </colItems>
  <dataFields count="1">
    <dataField name="Average of % İade Oranı" fld="6" subtotal="average" baseField="0" baseItem="9" numFmtId="10"/>
  </dataFields>
  <formats count="7">
    <format dxfId="236">
      <pivotArea outline="0" collapsedLevelsAreSubtotals="1" fieldPosition="0"/>
    </format>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D2290-7B89-49B0-BD40-270F05EE588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7">
    <pivotField showAll="0"/>
    <pivotField showAll="0"/>
    <pivotField showAll="0"/>
    <pivotField numFmtId="14" showAll="0"/>
    <pivotField showAll="0"/>
    <pivotField showAll="0"/>
    <pivotField dataField="1" numFmtId="10" showAll="0"/>
    <pivotField numFmtId="10" showAll="0"/>
    <pivotField showAll="0">
      <items count="6">
        <item x="3"/>
        <item x="2"/>
        <item x="0"/>
        <item x="1"/>
        <item x="4"/>
        <item t="default"/>
      </items>
    </pivotField>
    <pivotField showAll="0"/>
    <pivotField showAll="0"/>
    <pivotField showAll="0"/>
    <pivotField showAll="0">
      <items count="16">
        <item x="0"/>
        <item x="13"/>
        <item x="9"/>
        <item x="11"/>
        <item x="1"/>
        <item x="14"/>
        <item x="10"/>
        <item x="6"/>
        <item x="8"/>
        <item x="12"/>
        <item x="5"/>
        <item x="3"/>
        <item x="4"/>
        <item x="7"/>
        <item x="2"/>
        <item t="default"/>
      </items>
    </pivotField>
    <pivotField showAll="0">
      <items count="12">
        <item x="4"/>
        <item x="7"/>
        <item x="2"/>
        <item x="5"/>
        <item x="1"/>
        <item x="6"/>
        <item x="10"/>
        <item x="0"/>
        <item x="8"/>
        <item x="3"/>
        <item x="9"/>
        <item t="default"/>
      </items>
    </pivotField>
    <pivotField showAll="0"/>
    <pivotField showAll="0">
      <items count="3">
        <item x="1"/>
        <item x="0"/>
        <item t="default"/>
      </items>
    </pivotField>
    <pivotField showAll="0"/>
  </pivotFields>
  <rowItems count="1">
    <i/>
  </rowItems>
  <colItems count="1">
    <i/>
  </colItems>
  <dataFields count="1">
    <dataField name="Count of % İade Oranı" fld="6" subtotal="count" baseField="0" baseItem="9"/>
  </dataFields>
  <formats count="4">
    <format dxfId="240">
      <pivotArea outline="0" collapsedLevelsAreSubtotals="1"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55393-BF92-4CB2-BE27-E56AC7B6B7A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7">
    <pivotField showAll="0"/>
    <pivotField showAll="0"/>
    <pivotField showAll="0"/>
    <pivotField numFmtId="14" showAll="0"/>
    <pivotField dataField="1" showAll="0"/>
    <pivotField showAll="0"/>
    <pivotField numFmtId="10" showAll="0"/>
    <pivotField numFmtId="10" showAll="0"/>
    <pivotField showAll="0">
      <items count="6">
        <item x="3"/>
        <item x="2"/>
        <item x="0"/>
        <item x="1"/>
        <item x="4"/>
        <item t="default"/>
      </items>
    </pivotField>
    <pivotField showAll="0"/>
    <pivotField showAll="0"/>
    <pivotField showAll="0"/>
    <pivotField showAll="0">
      <items count="16">
        <item x="0"/>
        <item x="13"/>
        <item x="9"/>
        <item x="11"/>
        <item x="1"/>
        <item x="14"/>
        <item x="10"/>
        <item x="6"/>
        <item x="8"/>
        <item x="12"/>
        <item x="5"/>
        <item x="3"/>
        <item x="4"/>
        <item x="7"/>
        <item x="2"/>
        <item t="default"/>
      </items>
    </pivotField>
    <pivotField showAll="0">
      <items count="12">
        <item x="4"/>
        <item x="7"/>
        <item x="2"/>
        <item x="5"/>
        <item x="1"/>
        <item x="6"/>
        <item x="10"/>
        <item x="0"/>
        <item x="8"/>
        <item x="3"/>
        <item x="9"/>
        <item t="default"/>
      </items>
    </pivotField>
    <pivotField showAll="0"/>
    <pivotField showAll="0">
      <items count="3">
        <item x="1"/>
        <item x="0"/>
        <item t="default"/>
      </items>
    </pivotField>
    <pivotField showAll="0"/>
  </pivotFields>
  <rowItems count="1">
    <i/>
  </rowItems>
  <colItems count="1">
    <i/>
  </colItems>
  <dataFields count="1">
    <dataField name="Sum of Satış Miktarı" fld="4" baseField="0" baseItem="0" numFmtId="164"/>
  </dataFields>
  <formats count="4">
    <format dxfId="244">
      <pivotArea outline="0" collapsedLevelsAreSubtotals="1" fieldPosition="0"/>
    </format>
    <format dxfId="243">
      <pivotArea type="all" dataOnly="0" outline="0" fieldPosition="0"/>
    </format>
    <format dxfId="242">
      <pivotArea outline="0" collapsedLevelsAreSubtotals="1" fieldPosition="0"/>
    </format>
    <format dxfId="2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A99D5A-C2DB-4FCA-BD50-3F53762D627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3:F19" firstHeaderRow="1" firstDataRow="1" firstDataCol="1"/>
  <pivotFields count="17">
    <pivotField showAll="0"/>
    <pivotField showAll="0"/>
    <pivotField showAll="0"/>
    <pivotField numFmtId="14" showAll="0"/>
    <pivotField dataField="1" showAll="0"/>
    <pivotField showAll="0"/>
    <pivotField numFmtId="10" showAll="0"/>
    <pivotField numFmtId="10" showAll="0"/>
    <pivotField showAll="0">
      <items count="6">
        <item x="3"/>
        <item x="2"/>
        <item x="0"/>
        <item x="1"/>
        <item x="4"/>
        <item t="default"/>
      </items>
    </pivotField>
    <pivotField showAll="0"/>
    <pivotField showAll="0"/>
    <pivotField showAll="0"/>
    <pivotField axis="axisRow" showAll="0">
      <items count="16">
        <item x="0"/>
        <item x="13"/>
        <item x="9"/>
        <item x="11"/>
        <item x="1"/>
        <item x="14"/>
        <item x="10"/>
        <item x="6"/>
        <item x="8"/>
        <item x="12"/>
        <item x="5"/>
        <item x="3"/>
        <item x="4"/>
        <item x="7"/>
        <item x="2"/>
        <item t="default"/>
      </items>
    </pivotField>
    <pivotField showAll="0">
      <items count="12">
        <item x="4"/>
        <item x="7"/>
        <item x="2"/>
        <item x="5"/>
        <item x="1"/>
        <item x="6"/>
        <item x="10"/>
        <item x="0"/>
        <item x="8"/>
        <item x="3"/>
        <item x="9"/>
        <item t="default"/>
      </items>
    </pivotField>
    <pivotField showAll="0"/>
    <pivotField showAll="0">
      <items count="3">
        <item x="1"/>
        <item x="0"/>
        <item t="default"/>
      </items>
    </pivotField>
    <pivotField showAll="0"/>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Sum of Satış Miktarı" fld="4" baseField="0" baseItem="0" numFmtId="164"/>
  </dataFields>
  <formats count="4">
    <format dxfId="248">
      <pivotArea outline="0" collapsedLevelsAreSubtotals="1" fieldPosition="0"/>
    </format>
    <format dxfId="247">
      <pivotArea type="all" dataOnly="0" outline="0" fieldPosition="0"/>
    </format>
    <format dxfId="246">
      <pivotArea outline="0" collapsedLevelsAreSubtotals="1" fieldPosition="0"/>
    </format>
    <format dxfId="24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A61C96-633D-4796-8969-6D021823984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2:A23" firstHeaderRow="1" firstDataRow="1" firstDataCol="0"/>
  <pivotFields count="17">
    <pivotField showAll="0"/>
    <pivotField showAll="0"/>
    <pivotField showAll="0"/>
    <pivotField numFmtId="14" showAll="0"/>
    <pivotField showAll="0"/>
    <pivotField showAll="0"/>
    <pivotField numFmtId="10" showAll="0"/>
    <pivotField numFmtId="10" showAll="0"/>
    <pivotField showAll="0">
      <items count="6">
        <item x="3"/>
        <item x="2"/>
        <item x="0"/>
        <item x="1"/>
        <item x="4"/>
        <item t="default"/>
      </items>
    </pivotField>
    <pivotField showAll="0"/>
    <pivotField dataField="1" showAll="0"/>
    <pivotField showAll="0"/>
    <pivotField showAll="0">
      <items count="16">
        <item x="0"/>
        <item x="13"/>
        <item x="9"/>
        <item x="11"/>
        <item x="1"/>
        <item x="14"/>
        <item x="10"/>
        <item x="6"/>
        <item x="8"/>
        <item x="12"/>
        <item x="5"/>
        <item x="3"/>
        <item x="4"/>
        <item x="7"/>
        <item x="2"/>
        <item t="default"/>
      </items>
    </pivotField>
    <pivotField showAll="0">
      <items count="12">
        <item x="4"/>
        <item x="7"/>
        <item x="2"/>
        <item x="5"/>
        <item x="1"/>
        <item x="6"/>
        <item x="10"/>
        <item x="0"/>
        <item x="8"/>
        <item x="3"/>
        <item x="9"/>
        <item t="default"/>
      </items>
    </pivotField>
    <pivotField showAll="0"/>
    <pivotField showAll="0">
      <items count="3">
        <item x="1"/>
        <item x="0"/>
        <item t="default"/>
      </items>
    </pivotField>
    <pivotField showAll="0"/>
  </pivotFields>
  <rowItems count="1">
    <i/>
  </rowItems>
  <colItems count="1">
    <i/>
  </colItems>
  <dataFields count="1">
    <dataField name="Sum of Ciro" fld="10" baseField="0" baseItem="0"/>
  </dataFields>
  <formats count="4">
    <format dxfId="252">
      <pivotArea outline="0" collapsedLevelsAreSubtotals="1" fieldPosition="0"/>
    </format>
    <format dxfId="251">
      <pivotArea type="all" dataOnly="0" outline="0" fieldPosition="0"/>
    </format>
    <format dxfId="250">
      <pivotArea outline="0" collapsedLevelsAreSubtotals="1" fieldPosition="0"/>
    </format>
    <format dxfId="2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342F5-914D-4E81-B7AC-FF7030733111}"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28:D44" firstHeaderRow="0" firstDataRow="1" firstDataCol="1"/>
  <pivotFields count="17">
    <pivotField showAll="0"/>
    <pivotField showAll="0"/>
    <pivotField showAll="0"/>
    <pivotField numFmtId="14" showAll="0"/>
    <pivotField dataField="1" showAll="0"/>
    <pivotField showAll="0"/>
    <pivotField numFmtId="10" showAll="0"/>
    <pivotField numFmtId="10" showAll="0"/>
    <pivotField showAll="0">
      <items count="6">
        <item x="3"/>
        <item x="2"/>
        <item x="0"/>
        <item x="1"/>
        <item x="4"/>
        <item t="default"/>
      </items>
    </pivotField>
    <pivotField showAll="0"/>
    <pivotField showAll="0"/>
    <pivotField showAll="0"/>
    <pivotField axis="axisRow" showAll="0">
      <items count="16">
        <item x="0"/>
        <item x="13"/>
        <item x="9"/>
        <item x="11"/>
        <item x="1"/>
        <item x="14"/>
        <item x="10"/>
        <item x="6"/>
        <item x="8"/>
        <item x="12"/>
        <item x="5"/>
        <item x="3"/>
        <item x="4"/>
        <item x="7"/>
        <item x="2"/>
        <item t="default"/>
      </items>
    </pivotField>
    <pivotField showAll="0">
      <items count="12">
        <item x="4"/>
        <item x="7"/>
        <item x="2"/>
        <item x="5"/>
        <item x="1"/>
        <item x="6"/>
        <item x="10"/>
        <item x="0"/>
        <item x="8"/>
        <item x="3"/>
        <item x="9"/>
        <item t="default"/>
      </items>
    </pivotField>
    <pivotField showAll="0"/>
    <pivotField showAll="0">
      <items count="3">
        <item x="1"/>
        <item x="0"/>
        <item t="default"/>
      </items>
    </pivotField>
    <pivotField showAll="0"/>
  </pivotFields>
  <rowFields count="1">
    <field x="12"/>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Satış Miktarı" fld="4" baseField="0" baseItem="0"/>
    <dataField name="% Dağılım" fld="4" showDataAs="percentOfTotal" baseField="0" baseItem="0" numFmtId="10"/>
    <dataField name="Sum of Satış Miktarı3" fld="4" showDataAs="difference" baseField="12" baseItem="1048828"/>
  </dataFields>
  <formats count="23">
    <format dxfId="212">
      <pivotArea type="all" dataOnly="0" outline="0" fieldPosition="0"/>
    </format>
    <format dxfId="211">
      <pivotArea outline="0" collapsedLevelsAreSubtotals="1" fieldPosition="0"/>
    </format>
    <format dxfId="210">
      <pivotArea field="12" type="button" dataOnly="0" labelOnly="1" outline="0" axis="axisRow" fieldPosition="0"/>
    </format>
    <format dxfId="209">
      <pivotArea dataOnly="0" labelOnly="1" fieldPosition="0">
        <references count="1">
          <reference field="12" count="0"/>
        </references>
      </pivotArea>
    </format>
    <format dxfId="208">
      <pivotArea dataOnly="0" labelOnly="1" grandRow="1" outline="0" fieldPosition="0"/>
    </format>
    <format dxfId="207">
      <pivotArea dataOnly="0" labelOnly="1" outline="0" fieldPosition="0">
        <references count="1">
          <reference field="4294967294" count="3">
            <x v="0"/>
            <x v="1"/>
            <x v="2"/>
          </reference>
        </references>
      </pivotArea>
    </format>
    <format dxfId="206">
      <pivotArea outline="0" collapsedLevelsAreSubtotals="1" fieldPosition="0"/>
    </format>
    <format dxfId="205">
      <pivotArea outline="0" fieldPosition="0">
        <references count="1">
          <reference field="4294967294" count="1">
            <x v="1"/>
          </reference>
        </references>
      </pivotArea>
    </format>
    <format dxfId="204">
      <pivotArea field="12" grandRow="1" outline="0" collapsedLevelsAreSubtotals="1" axis="axisRow" fieldPosition="0">
        <references count="1">
          <reference field="4294967294" count="1" selected="0">
            <x v="2"/>
          </reference>
        </references>
      </pivotArea>
    </format>
    <format dxfId="203">
      <pivotArea collapsedLevelsAreSubtotals="1" fieldPosition="0">
        <references count="2">
          <reference field="4294967294" count="1" selected="0">
            <x v="2"/>
          </reference>
          <reference field="12" count="14">
            <x v="1"/>
            <x v="2"/>
            <x v="3"/>
            <x v="4"/>
            <x v="5"/>
            <x v="6"/>
            <x v="7"/>
            <x v="8"/>
            <x v="9"/>
            <x v="10"/>
            <x v="11"/>
            <x v="12"/>
            <x v="13"/>
            <x v="14"/>
          </reference>
        </references>
      </pivotArea>
    </format>
    <format dxfId="202">
      <pivotArea type="all" dataOnly="0" outline="0" fieldPosition="0"/>
    </format>
    <format dxfId="201">
      <pivotArea outline="0" collapsedLevelsAreSubtotals="1" fieldPosition="0"/>
    </format>
    <format dxfId="200">
      <pivotArea field="12" type="button" dataOnly="0" labelOnly="1" outline="0" axis="axisRow" fieldPosition="0"/>
    </format>
    <format dxfId="199">
      <pivotArea dataOnly="0" labelOnly="1" fieldPosition="0">
        <references count="1">
          <reference field="12" count="0"/>
        </references>
      </pivotArea>
    </format>
    <format dxfId="198">
      <pivotArea dataOnly="0" labelOnly="1" grandRow="1" outline="0" fieldPosition="0"/>
    </format>
    <format dxfId="197">
      <pivotArea dataOnly="0" labelOnly="1" outline="0" fieldPosition="0">
        <references count="1">
          <reference field="4294967294" count="3">
            <x v="0"/>
            <x v="1"/>
            <x v="2"/>
          </reference>
        </references>
      </pivotArea>
    </format>
    <format dxfId="196">
      <pivotArea type="all" dataOnly="0" outline="0" fieldPosition="0"/>
    </format>
    <format dxfId="195">
      <pivotArea outline="0" collapsedLevelsAreSubtotals="1" fieldPosition="0"/>
    </format>
    <format dxfId="194">
      <pivotArea field="12" type="button" dataOnly="0" labelOnly="1" outline="0" axis="axisRow" fieldPosition="0"/>
    </format>
    <format dxfId="193">
      <pivotArea dataOnly="0" labelOnly="1" outline="0" fieldPosition="0">
        <references count="1">
          <reference field="4294967294" count="3">
            <x v="0"/>
            <x v="1"/>
            <x v="2"/>
          </reference>
        </references>
      </pivotArea>
    </format>
    <format dxfId="192">
      <pivotArea collapsedLevelsAreSubtotals="1" fieldPosition="0">
        <references count="2">
          <reference field="4294967294" count="1" selected="0">
            <x v="0"/>
          </reference>
          <reference field="12" count="0"/>
        </references>
      </pivotArea>
    </format>
    <format dxfId="191">
      <pivotArea dataOnly="0" labelOnly="1" fieldPosition="0">
        <references count="1">
          <reference field="12" count="0"/>
        </references>
      </pivotArea>
    </format>
    <format dxfId="190">
      <pivotArea dataOnly="0" labelOnly="1" grandRow="1" outline="0" fieldPosition="0"/>
    </format>
  </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0F21F8-A612-4A16-A8F4-E7F3894A8280}" name="PivotTable3" cacheId="0" applyNumberFormats="0" applyBorderFormats="0" applyFontFormats="0" applyPatternFormats="0" applyAlignmentFormats="0" applyWidthHeightFormats="1" dataCaption="Values" updatedVersion="7" minRefreshableVersion="3" showDrill="0" itemPrintTitles="1" createdVersion="7" indent="0" compact="0" compactData="0" multipleFieldFilters="0">
  <location ref="F28:H38" firstHeaderRow="1" firstDataRow="1" firstDataCol="2"/>
  <pivotFields count="17">
    <pivotField compact="0" outline="0" showAll="0"/>
    <pivotField compact="0" outline="0" showAll="0"/>
    <pivotField compact="0" outline="0" showAll="0"/>
    <pivotField compact="0" numFmtId="14" outline="0" showAll="0"/>
    <pivotField dataField="1" compact="0" outline="0" showAll="0"/>
    <pivotField compact="0" outline="0" showAll="0"/>
    <pivotField compact="0" numFmtId="10" outline="0" showAll="0"/>
    <pivotField compact="0" numFmtId="10" outline="0" showAll="0"/>
    <pivotField axis="axisRow" compact="0" outline="0" showAll="0" defaultSubtotal="0">
      <items count="5">
        <item x="3"/>
        <item x="2"/>
        <item x="0"/>
        <item x="1"/>
        <item x="4"/>
      </items>
    </pivotField>
    <pivotField compact="0" outline="0" showAll="0"/>
    <pivotField compact="0" outline="0" showAll="0"/>
    <pivotField compact="0" outline="0" showAll="0"/>
    <pivotField compact="0" outline="0" showAll="0">
      <items count="16">
        <item x="0"/>
        <item x="13"/>
        <item x="9"/>
        <item x="11"/>
        <item x="1"/>
        <item x="14"/>
        <item x="10"/>
        <item x="6"/>
        <item x="8"/>
        <item x="12"/>
        <item x="5"/>
        <item x="3"/>
        <item x="4"/>
        <item x="7"/>
        <item x="2"/>
        <item t="default"/>
      </items>
    </pivotField>
    <pivotField compact="0" outline="0" showAll="0">
      <items count="12">
        <item x="4"/>
        <item x="7"/>
        <item x="2"/>
        <item x="5"/>
        <item x="1"/>
        <item x="6"/>
        <item x="10"/>
        <item x="0"/>
        <item x="8"/>
        <item x="3"/>
        <item x="9"/>
        <item t="default"/>
      </items>
    </pivotField>
    <pivotField compact="0" outline="0" showAll="0"/>
    <pivotField axis="axisRow" compact="0" outline="0" showAll="0">
      <items count="3">
        <item x="1"/>
        <item x="0"/>
        <item t="default"/>
      </items>
    </pivotField>
    <pivotField compact="0" outline="0" showAll="0"/>
  </pivotFields>
  <rowFields count="2">
    <field x="8"/>
    <field x="15"/>
  </rowFields>
  <rowItems count="10">
    <i>
      <x/>
      <x v="1"/>
    </i>
    <i>
      <x v="1"/>
      <x/>
    </i>
    <i r="1">
      <x v="1"/>
    </i>
    <i>
      <x v="2"/>
      <x/>
    </i>
    <i r="1">
      <x v="1"/>
    </i>
    <i>
      <x v="3"/>
      <x/>
    </i>
    <i r="1">
      <x v="1"/>
    </i>
    <i>
      <x v="4"/>
      <x/>
    </i>
    <i r="1">
      <x v="1"/>
    </i>
    <i t="grand">
      <x/>
    </i>
  </rowItems>
  <colItems count="1">
    <i/>
  </colItems>
  <dataFields count="1">
    <dataField name="Sum of Satış Miktarı" fld="4" baseField="0" baseItem="0" numFmtId="164"/>
  </dataFields>
  <formats count="13">
    <format dxfId="225">
      <pivotArea outline="0" collapsedLevelsAreSubtotals="1" fieldPosition="0"/>
    </format>
    <format dxfId="224">
      <pivotArea type="all" dataOnly="0" outline="0" fieldPosition="0"/>
    </format>
    <format dxfId="223">
      <pivotArea outline="0" collapsedLevelsAreSubtotals="1" fieldPosition="0"/>
    </format>
    <format dxfId="222">
      <pivotArea field="8" type="button" dataOnly="0" labelOnly="1" outline="0" axis="axisRow" fieldPosition="0"/>
    </format>
    <format dxfId="221">
      <pivotArea field="15" type="button" dataOnly="0" labelOnly="1" outline="0" axis="axisRow" fieldPosition="1"/>
    </format>
    <format dxfId="220">
      <pivotArea dataOnly="0" labelOnly="1" outline="0" fieldPosition="0">
        <references count="1">
          <reference field="8" count="0"/>
        </references>
      </pivotArea>
    </format>
    <format dxfId="219">
      <pivotArea dataOnly="0" labelOnly="1" grandRow="1" outline="0" fieldPosition="0"/>
    </format>
    <format dxfId="218">
      <pivotArea dataOnly="0" labelOnly="1" outline="0" fieldPosition="0">
        <references count="2">
          <reference field="8" count="1" selected="0">
            <x v="0"/>
          </reference>
          <reference field="15" count="1">
            <x v="1"/>
          </reference>
        </references>
      </pivotArea>
    </format>
    <format dxfId="217">
      <pivotArea dataOnly="0" labelOnly="1" outline="0" fieldPosition="0">
        <references count="2">
          <reference field="8" count="1" selected="0">
            <x v="1"/>
          </reference>
          <reference field="15" count="0"/>
        </references>
      </pivotArea>
    </format>
    <format dxfId="216">
      <pivotArea dataOnly="0" labelOnly="1" outline="0" fieldPosition="0">
        <references count="2">
          <reference field="8" count="1" selected="0">
            <x v="2"/>
          </reference>
          <reference field="15" count="0"/>
        </references>
      </pivotArea>
    </format>
    <format dxfId="215">
      <pivotArea dataOnly="0" labelOnly="1" outline="0" fieldPosition="0">
        <references count="2">
          <reference field="8" count="1" selected="0">
            <x v="3"/>
          </reference>
          <reference field="15" count="0"/>
        </references>
      </pivotArea>
    </format>
    <format dxfId="214">
      <pivotArea dataOnly="0" labelOnly="1" outline="0" fieldPosition="0">
        <references count="2">
          <reference field="8" count="1" selected="0">
            <x v="4"/>
          </reference>
          <reference field="15" count="0"/>
        </references>
      </pivotArea>
    </format>
    <format dxfId="213">
      <pivotArea dataOnly="0" labelOnly="1" outline="0" axis="axisValues" fieldPosition="0"/>
    </format>
  </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Ülke" xr10:uid="{F7372D2D-37DD-4AB0-B7E3-2D4FE4DA2A39}" sourceName="Ülke">
  <pivotTables>
    <pivotTable tabId="2" name="PivotTable1"/>
    <pivotTable tabId="3" name="PivotTable2"/>
    <pivotTable tabId="3" name="PivotTable3"/>
    <pivotTable tabId="2" name="PivotTable4"/>
    <pivotTable tabId="2" name="PivotTable5"/>
    <pivotTable tabId="2" name="PivotTable6"/>
    <pivotTable tabId="2" name="PivotTable7"/>
  </pivotTables>
  <data>
    <tabular pivotCacheId="1250435381">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üşteri" xr10:uid="{59F7C6C4-F206-49C0-B685-8ADF175ABC57}" sourceName="Müşteri">
  <pivotTables>
    <pivotTable tabId="2" name="PivotTable1"/>
    <pivotTable tabId="3" name="PivotTable2"/>
    <pivotTable tabId="3" name="PivotTable3"/>
    <pivotTable tabId="2" name="PivotTable4"/>
    <pivotTable tabId="2" name="PivotTable5"/>
    <pivotTable tabId="2" name="PivotTable6"/>
    <pivotTable tabId="2" name="PivotTable7"/>
  </pivotTables>
  <data>
    <tabular pivotCacheId="1250435381">
      <items count="15">
        <i x="0" s="1"/>
        <i x="13" s="1"/>
        <i x="9" s="1"/>
        <i x="11" s="1"/>
        <i x="1" s="1"/>
        <i x="14" s="1"/>
        <i x="10" s="1"/>
        <i x="6" s="1"/>
        <i x="8" s="1"/>
        <i x="12" s="1"/>
        <i x="5" s="1"/>
        <i x="3" s="1"/>
        <i x="4"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Ürün_Adı" xr10:uid="{5880FE6F-8951-495D-B4B0-6CB08B967A93}" sourceName="Ürün Adı">
  <pivotTables>
    <pivotTable tabId="2" name="PivotTable1"/>
    <pivotTable tabId="3" name="PivotTable2"/>
    <pivotTable tabId="3" name="PivotTable3"/>
    <pivotTable tabId="2" name="PivotTable4"/>
    <pivotTable tabId="2" name="PivotTable5"/>
    <pivotTable tabId="2" name="PivotTable6"/>
    <pivotTable tabId="2" name="PivotTable7"/>
  </pivotTables>
  <data>
    <tabular pivotCacheId="1250435381">
      <items count="11">
        <i x="4" s="1"/>
        <i x="7" s="1"/>
        <i x="2" s="1"/>
        <i x="5" s="1"/>
        <i x="1" s="1"/>
        <i x="6" s="1"/>
        <i x="10" s="1"/>
        <i x="0" s="1"/>
        <i x="8" s="1"/>
        <i x="3"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kiyat" xr10:uid="{6BC6D626-350A-4A6C-BE75-B75E951568D7}" sourceName="Sevkiyat">
  <pivotTables>
    <pivotTable tabId="2" name="PivotTable1"/>
    <pivotTable tabId="3" name="PivotTable2"/>
    <pivotTable tabId="3" name="PivotTable3"/>
    <pivotTable tabId="2" name="PivotTable4"/>
    <pivotTable tabId="2" name="PivotTable5"/>
    <pivotTable tabId="2" name="PivotTable6"/>
    <pivotTable tabId="2" name="PivotTable7"/>
  </pivotTables>
  <data>
    <tabular pivotCacheId="12504353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Ülke" xr10:uid="{C40D2D4F-C40A-4275-B383-AAE6BD2B0140}" cache="Slicer_Ülke" caption="Ülke" columnCount="3" style="Slicer Style 2" rowHeight="241300"/>
  <slicer name="Müşteri" xr10:uid="{A4D6EFC9-F555-404F-B148-D116878D74F8}" cache="Slicer_Müşteri" caption="Müşteri" columnCount="3" style="Slicer Style 2" rowHeight="241300"/>
  <slicer name="Ürün Adı" xr10:uid="{EB222D67-D677-4072-87F0-3C1969404FB0}" cache="Slicer_Ürün_Adı" caption="Ürün Adı" columnCount="3" style="Slicer Style 2" rowHeight="241300"/>
  <slicer name="Sevkiyat" xr10:uid="{10A7E6FD-5606-4515-82FA-A8BDF137FF95}" cache="Slicer_Sevkiyat" caption="Sevkiyat" columnCount="2"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CD5098-7200-41DE-9BE0-559EBCE78258}" name="Table1" displayName="Table1" ref="A1:Q1001" totalsRowShown="0">
  <autoFilter ref="A1:Q1001" xr:uid="{7BCD5098-7200-41DE-9BE0-559EBCE78258}"/>
  <tableColumns count="17">
    <tableColumn id="1" xr3:uid="{A9E22280-7F22-4448-9CC8-6C4B4F25933B}" name="Ürün No"/>
    <tableColumn id="2" xr3:uid="{385A6D57-184C-4D68-8B60-EF989768A0E3}" name="İsim"/>
    <tableColumn id="3" xr3:uid="{F59FF10E-B10B-42D6-BE45-0DF2B830C80D}" name="Cinsiyet"/>
    <tableColumn id="4" xr3:uid="{BDEA9A0E-0435-4D99-B13D-0FE18AAC0187}" name="Tarih" dataDxfId="229"/>
    <tableColumn id="5" xr3:uid="{7F2A1234-B36E-4CBF-A43D-6D693360D138}" name="Satış Miktarı"/>
    <tableColumn id="6" xr3:uid="{C4E424F7-2C96-4189-815A-533EDC2214D9}" name="İade Miktarı"/>
    <tableColumn id="7" xr3:uid="{FECE7036-4A6C-4FDD-84F7-BD41CAD58E8D}" name="% İade Oranı" dataDxfId="228"/>
    <tableColumn id="17" xr3:uid="{A4437B36-246F-4C81-8980-3A045D60ADC8}" name="İade Oranı" dataDxfId="227">
      <calculatedColumnFormula>Table1[[#This Row],[İade Miktarı]]/Table1[[#This Row],[Satış Miktarı]]</calculatedColumnFormula>
    </tableColumn>
    <tableColumn id="8" xr3:uid="{5454E09D-820F-4EAA-B034-944F5EA5A97E}" name="Ülke"/>
    <tableColumn id="9" xr3:uid="{2D7274C0-F5D5-4CEC-8143-2F8EDE2FB006}" name="Satış Fiyatı"/>
    <tableColumn id="10" xr3:uid="{1D97A1B0-B45A-4A78-8ADA-C3B04309E02F}" name="Ciro" dataDxfId="226">
      <calculatedColumnFormula>Table1[[#This Row],[Satış Miktarı]]*Table1[[#This Row],[Satış Fiyatı]]</calculatedColumnFormula>
    </tableColumn>
    <tableColumn id="11" xr3:uid="{D6AECF02-D607-4003-8C96-E33B0BEC804D}" name="Para Birimi"/>
    <tableColumn id="12" xr3:uid="{CE9B7A5A-E22C-48AE-A4DA-E4F44C881CAF}" name="Müşteri"/>
    <tableColumn id="13" xr3:uid="{E2E961B1-4E50-4A4B-A8F9-DD49D39BA98B}" name="Ürün Adı"/>
    <tableColumn id="14" xr3:uid="{DC6D3A4F-1894-43DF-939D-94E9472A75BC}" name="KDV"/>
    <tableColumn id="15" xr3:uid="{C74FEB1D-DCA3-451C-8D8C-29D87637AA69}" name="Sevkiyat"/>
    <tableColumn id="16" xr3:uid="{27D63F37-6137-4E15-A595-DB1676D6F8E4}" name="Renk"/>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4DF7-6BFE-4A73-B70B-393E190296C0}">
  <dimension ref="A3:F23"/>
  <sheetViews>
    <sheetView workbookViewId="0">
      <selection activeCell="A3" sqref="A3"/>
    </sheetView>
  </sheetViews>
  <sheetFormatPr defaultRowHeight="15"/>
  <cols>
    <col min="1" max="2" width="14" bestFit="1" customWidth="1"/>
    <col min="5" max="5" width="15" bestFit="1" customWidth="1"/>
    <col min="6" max="6" width="21.42578125" bestFit="1" customWidth="1"/>
  </cols>
  <sheetData>
    <row r="3" spans="1:6">
      <c r="A3" s="4" t="s">
        <v>90</v>
      </c>
      <c r="E3" s="3" t="s">
        <v>91</v>
      </c>
      <c r="F3" s="4" t="s">
        <v>90</v>
      </c>
    </row>
    <row r="4" spans="1:6">
      <c r="A4" s="6">
        <v>2957231</v>
      </c>
      <c r="E4" s="5" t="s">
        <v>20</v>
      </c>
      <c r="F4" s="6">
        <v>192051</v>
      </c>
    </row>
    <row r="5" spans="1:6">
      <c r="E5" s="5" t="s">
        <v>71</v>
      </c>
      <c r="F5" s="6">
        <v>168311</v>
      </c>
    </row>
    <row r="6" spans="1:6">
      <c r="E6" s="5" t="s">
        <v>58</v>
      </c>
      <c r="F6" s="6">
        <v>180117</v>
      </c>
    </row>
    <row r="7" spans="1:6">
      <c r="E7" s="5" t="s">
        <v>64</v>
      </c>
      <c r="F7" s="6">
        <v>198875</v>
      </c>
    </row>
    <row r="8" spans="1:6">
      <c r="E8" s="5" t="s">
        <v>25</v>
      </c>
      <c r="F8" s="6">
        <v>190371</v>
      </c>
    </row>
    <row r="9" spans="1:6">
      <c r="A9" s="4" t="s">
        <v>95</v>
      </c>
      <c r="E9" s="5" t="s">
        <v>74</v>
      </c>
      <c r="F9" s="6">
        <v>176830</v>
      </c>
    </row>
    <row r="10" spans="1:6">
      <c r="A10" s="6">
        <v>1000</v>
      </c>
      <c r="E10" s="5" t="s">
        <v>60</v>
      </c>
      <c r="F10" s="6">
        <v>194997</v>
      </c>
    </row>
    <row r="11" spans="1:6">
      <c r="E11" s="5" t="s">
        <v>46</v>
      </c>
      <c r="F11" s="6">
        <v>367156</v>
      </c>
    </row>
    <row r="12" spans="1:6">
      <c r="E12" s="5" t="s">
        <v>55</v>
      </c>
      <c r="F12" s="6">
        <v>186096</v>
      </c>
    </row>
    <row r="13" spans="1:6">
      <c r="E13" s="5" t="s">
        <v>68</v>
      </c>
      <c r="F13" s="6">
        <v>185224</v>
      </c>
    </row>
    <row r="14" spans="1:6">
      <c r="E14" s="5" t="s">
        <v>42</v>
      </c>
      <c r="F14" s="6">
        <v>167742</v>
      </c>
    </row>
    <row r="15" spans="1:6">
      <c r="A15" s="7" t="s">
        <v>97</v>
      </c>
      <c r="E15" s="5" t="s">
        <v>35</v>
      </c>
      <c r="F15" s="6">
        <v>188231</v>
      </c>
    </row>
    <row r="16" spans="1:6">
      <c r="A16" s="7">
        <v>1.2273300000000015E-2</v>
      </c>
      <c r="E16" s="5" t="s">
        <v>38</v>
      </c>
      <c r="F16" s="6">
        <v>196317</v>
      </c>
    </row>
    <row r="17" spans="1:6">
      <c r="E17" s="5" t="s">
        <v>52</v>
      </c>
      <c r="F17" s="6">
        <v>183314</v>
      </c>
    </row>
    <row r="18" spans="1:6">
      <c r="E18" s="5" t="s">
        <v>30</v>
      </c>
      <c r="F18" s="6">
        <v>181599</v>
      </c>
    </row>
    <row r="19" spans="1:6">
      <c r="E19" s="5" t="s">
        <v>92</v>
      </c>
      <c r="F19" s="6">
        <v>2957231</v>
      </c>
    </row>
    <row r="22" spans="1:6">
      <c r="A22" s="4" t="s">
        <v>98</v>
      </c>
    </row>
    <row r="23" spans="1:6">
      <c r="A23" s="6">
        <v>103803222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K2" sqref="K2"/>
    </sheetView>
  </sheetViews>
  <sheetFormatPr defaultRowHeight="15"/>
  <cols>
    <col min="1" max="1" width="10.5703125" customWidth="1"/>
    <col min="2" max="2" width="8.140625" bestFit="1" customWidth="1"/>
    <col min="3" max="3" width="10.28515625" customWidth="1"/>
    <col min="4" max="4" width="10.140625" bestFit="1" customWidth="1"/>
    <col min="5" max="5" width="14.140625" customWidth="1"/>
    <col min="6" max="6" width="13.85546875" customWidth="1"/>
    <col min="7" max="7" width="14.28515625" customWidth="1"/>
    <col min="8" max="8" width="9" bestFit="1" customWidth="1"/>
    <col min="9" max="9" width="12.5703125" customWidth="1"/>
    <col min="10" max="10" width="7" bestFit="1" customWidth="1"/>
    <col min="11" max="11" width="12.7109375" customWidth="1"/>
    <col min="12" max="12" width="12.140625" bestFit="1" customWidth="1"/>
    <col min="13" max="13" width="11" customWidth="1"/>
    <col min="14" max="14" width="6.85546875" customWidth="1"/>
    <col min="15" max="15" width="12.28515625" bestFit="1" customWidth="1"/>
    <col min="16" max="16" width="11.85546875" bestFit="1" customWidth="1"/>
  </cols>
  <sheetData>
    <row r="1" spans="1:17">
      <c r="A1" t="s">
        <v>0</v>
      </c>
      <c r="B1" t="s">
        <v>1</v>
      </c>
      <c r="C1" t="s">
        <v>2</v>
      </c>
      <c r="D1" t="s">
        <v>3</v>
      </c>
      <c r="E1" t="s">
        <v>4</v>
      </c>
      <c r="F1" t="s">
        <v>5</v>
      </c>
      <c r="G1" t="s">
        <v>6</v>
      </c>
      <c r="H1" t="s">
        <v>96</v>
      </c>
      <c r="I1" t="s">
        <v>7</v>
      </c>
      <c r="J1" t="s">
        <v>8</v>
      </c>
      <c r="K1" t="s">
        <v>9</v>
      </c>
      <c r="L1" t="s">
        <v>10</v>
      </c>
      <c r="M1" t="s">
        <v>11</v>
      </c>
      <c r="N1" t="s">
        <v>12</v>
      </c>
      <c r="O1" t="s">
        <v>13</v>
      </c>
      <c r="P1" t="s">
        <v>14</v>
      </c>
      <c r="Q1" t="s">
        <v>15</v>
      </c>
    </row>
    <row r="2" spans="1:17">
      <c r="A2" t="s">
        <v>89</v>
      </c>
      <c r="B2" t="s">
        <v>16</v>
      </c>
      <c r="C2" t="s">
        <v>17</v>
      </c>
      <c r="D2" s="1">
        <v>48377</v>
      </c>
      <c r="E2">
        <v>1795</v>
      </c>
      <c r="F2">
        <v>41</v>
      </c>
      <c r="G2" s="2">
        <v>2.2800000000000001E-2</v>
      </c>
      <c r="H2" s="2">
        <f>Table1[[#This Row],[İade Miktarı]]/Table1[[#This Row],[Satış Miktarı]]</f>
        <v>2.2841225626740947E-2</v>
      </c>
      <c r="I2" t="s">
        <v>18</v>
      </c>
      <c r="J2">
        <v>48</v>
      </c>
      <c r="K2">
        <f>Table1[[#This Row],[Satış Miktarı]]*Table1[[#This Row],[Satış Fiyatı]]</f>
        <v>86160</v>
      </c>
      <c r="L2" t="s">
        <v>19</v>
      </c>
      <c r="M2" t="s">
        <v>20</v>
      </c>
      <c r="N2" t="s">
        <v>21</v>
      </c>
      <c r="O2">
        <v>0.2</v>
      </c>
      <c r="P2" t="s">
        <v>22</v>
      </c>
      <c r="Q2" t="s">
        <v>23</v>
      </c>
    </row>
    <row r="3" spans="1:17">
      <c r="A3">
        <v>709816894</v>
      </c>
      <c r="B3" t="s">
        <v>24</v>
      </c>
      <c r="C3" t="s">
        <v>17</v>
      </c>
      <c r="D3" s="1">
        <v>48016</v>
      </c>
      <c r="E3">
        <v>1819</v>
      </c>
      <c r="F3">
        <v>42</v>
      </c>
      <c r="G3" s="2">
        <v>2.3099999999999999E-2</v>
      </c>
      <c r="H3" s="2">
        <f>Table1[[#This Row],[İade Miktarı]]/Table1[[#This Row],[Satış Miktarı]]</f>
        <v>2.308960967564596E-2</v>
      </c>
      <c r="I3" t="s">
        <v>18</v>
      </c>
      <c r="J3">
        <v>31</v>
      </c>
      <c r="K3">
        <f>Table1[[#This Row],[Satış Miktarı]]*Table1[[#This Row],[Satış Fiyatı]]</f>
        <v>56389</v>
      </c>
      <c r="L3" t="s">
        <v>19</v>
      </c>
      <c r="M3" t="s">
        <v>25</v>
      </c>
      <c r="N3" t="s">
        <v>26</v>
      </c>
      <c r="O3">
        <v>0.2</v>
      </c>
      <c r="P3" t="s">
        <v>27</v>
      </c>
      <c r="Q3" t="s">
        <v>28</v>
      </c>
    </row>
    <row r="4" spans="1:17">
      <c r="A4">
        <v>307695570</v>
      </c>
      <c r="B4" t="s">
        <v>29</v>
      </c>
      <c r="C4" t="s">
        <v>17</v>
      </c>
      <c r="D4" s="1">
        <v>47915</v>
      </c>
      <c r="E4">
        <v>2458</v>
      </c>
      <c r="F4">
        <v>46</v>
      </c>
      <c r="G4" s="2">
        <v>1.8700000000000001E-2</v>
      </c>
      <c r="H4" s="2">
        <f>Table1[[#This Row],[İade Miktarı]]/Table1[[#This Row],[Satış Miktarı]]</f>
        <v>1.8714401952807162E-2</v>
      </c>
      <c r="I4" t="s">
        <v>18</v>
      </c>
      <c r="J4">
        <v>38</v>
      </c>
      <c r="K4">
        <f>Table1[[#This Row],[Satış Miktarı]]*Table1[[#This Row],[Satış Fiyatı]]</f>
        <v>93404</v>
      </c>
      <c r="L4" t="s">
        <v>19</v>
      </c>
      <c r="M4" t="s">
        <v>30</v>
      </c>
      <c r="N4" t="s">
        <v>31</v>
      </c>
      <c r="O4">
        <v>0.2</v>
      </c>
      <c r="P4" t="s">
        <v>27</v>
      </c>
      <c r="Q4" t="s">
        <v>32</v>
      </c>
    </row>
    <row r="5" spans="1:17">
      <c r="A5">
        <v>813468636</v>
      </c>
      <c r="B5" t="s">
        <v>33</v>
      </c>
      <c r="C5" t="s">
        <v>34</v>
      </c>
      <c r="D5" s="1">
        <v>48414</v>
      </c>
      <c r="E5">
        <v>4415</v>
      </c>
      <c r="F5">
        <v>28</v>
      </c>
      <c r="G5" s="2">
        <v>6.3E-3</v>
      </c>
      <c r="H5" s="2">
        <f>Table1[[#This Row],[İade Miktarı]]/Table1[[#This Row],[Satış Miktarı]]</f>
        <v>6.3420158550396375E-3</v>
      </c>
      <c r="I5" t="s">
        <v>18</v>
      </c>
      <c r="J5">
        <v>49</v>
      </c>
      <c r="K5">
        <f>Table1[[#This Row],[Satış Miktarı]]*Table1[[#This Row],[Satış Fiyatı]]</f>
        <v>216335</v>
      </c>
      <c r="L5" t="s">
        <v>19</v>
      </c>
      <c r="M5" t="s">
        <v>35</v>
      </c>
      <c r="N5" t="s">
        <v>21</v>
      </c>
      <c r="O5">
        <v>0.2</v>
      </c>
      <c r="P5" t="s">
        <v>22</v>
      </c>
      <c r="Q5" t="s">
        <v>36</v>
      </c>
    </row>
    <row r="6" spans="1:17">
      <c r="A6">
        <v>210985</v>
      </c>
      <c r="B6" t="s">
        <v>37</v>
      </c>
      <c r="C6" t="s">
        <v>34</v>
      </c>
      <c r="D6" s="1">
        <v>48409</v>
      </c>
      <c r="E6">
        <v>2833</v>
      </c>
      <c r="F6">
        <v>31</v>
      </c>
      <c r="G6" s="2">
        <v>1.09E-2</v>
      </c>
      <c r="H6" s="2">
        <f>Table1[[#This Row],[İade Miktarı]]/Table1[[#This Row],[Satış Miktarı]]</f>
        <v>1.0942463819272856E-2</v>
      </c>
      <c r="I6" t="s">
        <v>18</v>
      </c>
      <c r="J6">
        <v>28</v>
      </c>
      <c r="K6">
        <f>Table1[[#This Row],[Satış Miktarı]]*Table1[[#This Row],[Satış Fiyatı]]</f>
        <v>79324</v>
      </c>
      <c r="L6" t="s">
        <v>19</v>
      </c>
      <c r="M6" t="s">
        <v>38</v>
      </c>
      <c r="N6" t="s">
        <v>39</v>
      </c>
      <c r="O6">
        <v>0.2</v>
      </c>
      <c r="P6" t="s">
        <v>22</v>
      </c>
      <c r="Q6" t="s">
        <v>40</v>
      </c>
    </row>
    <row r="7" spans="1:17">
      <c r="A7">
        <v>620436955</v>
      </c>
      <c r="B7" t="s">
        <v>41</v>
      </c>
      <c r="C7" t="s">
        <v>17</v>
      </c>
      <c r="D7" s="1">
        <v>48327</v>
      </c>
      <c r="E7">
        <v>1688</v>
      </c>
      <c r="F7">
        <v>32</v>
      </c>
      <c r="G7" s="2">
        <v>1.9E-2</v>
      </c>
      <c r="H7" s="2">
        <f>Table1[[#This Row],[İade Miktarı]]/Table1[[#This Row],[Satış Miktarı]]</f>
        <v>1.8957345971563982E-2</v>
      </c>
      <c r="I7" t="s">
        <v>18</v>
      </c>
      <c r="J7">
        <v>20</v>
      </c>
      <c r="K7">
        <f>Table1[[#This Row],[Satış Miktarı]]*Table1[[#This Row],[Satış Fiyatı]]</f>
        <v>33760</v>
      </c>
      <c r="L7" t="s">
        <v>19</v>
      </c>
      <c r="M7" t="s">
        <v>42</v>
      </c>
      <c r="N7" t="s">
        <v>43</v>
      </c>
      <c r="O7">
        <v>0.2</v>
      </c>
      <c r="P7" t="s">
        <v>27</v>
      </c>
      <c r="Q7" t="s">
        <v>36</v>
      </c>
    </row>
    <row r="8" spans="1:17">
      <c r="A8">
        <v>300157339</v>
      </c>
      <c r="B8" t="s">
        <v>44</v>
      </c>
      <c r="C8" t="s">
        <v>17</v>
      </c>
      <c r="D8" s="1">
        <v>47635</v>
      </c>
      <c r="E8">
        <v>4994</v>
      </c>
      <c r="F8">
        <v>47</v>
      </c>
      <c r="G8" s="2">
        <v>9.4000000000000004E-3</v>
      </c>
      <c r="H8" s="2">
        <f>Table1[[#This Row],[İade Miktarı]]/Table1[[#This Row],[Satış Miktarı]]</f>
        <v>9.4112935522627159E-3</v>
      </c>
      <c r="I8" t="s">
        <v>45</v>
      </c>
      <c r="J8">
        <v>24</v>
      </c>
      <c r="K8">
        <f>Table1[[#This Row],[Satış Miktarı]]*Table1[[#This Row],[Satış Fiyatı]]</f>
        <v>119856</v>
      </c>
      <c r="L8" t="s">
        <v>19</v>
      </c>
      <c r="M8" t="s">
        <v>46</v>
      </c>
      <c r="N8" t="s">
        <v>47</v>
      </c>
      <c r="O8">
        <v>0.2</v>
      </c>
      <c r="P8" t="s">
        <v>27</v>
      </c>
      <c r="Q8" t="s">
        <v>48</v>
      </c>
    </row>
    <row r="9" spans="1:17">
      <c r="A9">
        <v>433553833</v>
      </c>
      <c r="B9" t="s">
        <v>49</v>
      </c>
      <c r="C9" t="s">
        <v>34</v>
      </c>
      <c r="D9" s="1">
        <v>47642</v>
      </c>
      <c r="E9">
        <v>4780</v>
      </c>
      <c r="F9">
        <v>31</v>
      </c>
      <c r="G9" s="2">
        <v>6.4999999999999997E-3</v>
      </c>
      <c r="H9" s="2">
        <f>Table1[[#This Row],[İade Miktarı]]/Table1[[#This Row],[Satış Miktarı]]</f>
        <v>6.4853556485355646E-3</v>
      </c>
      <c r="I9" t="s">
        <v>18</v>
      </c>
      <c r="J9">
        <v>50</v>
      </c>
      <c r="K9">
        <f>Table1[[#This Row],[Satış Miktarı]]*Table1[[#This Row],[Satış Fiyatı]]</f>
        <v>239000</v>
      </c>
      <c r="L9" t="s">
        <v>19</v>
      </c>
      <c r="M9" t="s">
        <v>46</v>
      </c>
      <c r="N9" t="s">
        <v>50</v>
      </c>
      <c r="O9">
        <v>0.2</v>
      </c>
      <c r="P9" t="s">
        <v>22</v>
      </c>
      <c r="Q9" t="s">
        <v>48</v>
      </c>
    </row>
    <row r="10" spans="1:17">
      <c r="A10">
        <v>293491892</v>
      </c>
      <c r="B10" t="s">
        <v>51</v>
      </c>
      <c r="C10" t="s">
        <v>17</v>
      </c>
      <c r="D10" s="1">
        <v>47568</v>
      </c>
      <c r="E10">
        <v>1596</v>
      </c>
      <c r="F10">
        <v>36</v>
      </c>
      <c r="G10" s="2">
        <v>2.2599999999999999E-2</v>
      </c>
      <c r="H10" s="2">
        <f>Table1[[#This Row],[İade Miktarı]]/Table1[[#This Row],[Satış Miktarı]]</f>
        <v>2.2556390977443608E-2</v>
      </c>
      <c r="I10" t="s">
        <v>18</v>
      </c>
      <c r="J10">
        <v>46</v>
      </c>
      <c r="K10">
        <f>Table1[[#This Row],[Satış Miktarı]]*Table1[[#This Row],[Satış Fiyatı]]</f>
        <v>73416</v>
      </c>
      <c r="L10" t="s">
        <v>19</v>
      </c>
      <c r="M10" t="s">
        <v>52</v>
      </c>
      <c r="N10" t="s">
        <v>31</v>
      </c>
      <c r="O10">
        <v>0.2</v>
      </c>
      <c r="P10" t="s">
        <v>22</v>
      </c>
      <c r="Q10" t="s">
        <v>53</v>
      </c>
    </row>
    <row r="11" spans="1:17">
      <c r="A11">
        <v>98590735</v>
      </c>
      <c r="B11" t="s">
        <v>54</v>
      </c>
      <c r="C11" t="s">
        <v>34</v>
      </c>
      <c r="D11" s="1">
        <v>48098</v>
      </c>
      <c r="E11">
        <v>1919</v>
      </c>
      <c r="F11">
        <v>13</v>
      </c>
      <c r="G11" s="2">
        <v>6.7999999999999996E-3</v>
      </c>
      <c r="H11" s="2">
        <f>Table1[[#This Row],[İade Miktarı]]/Table1[[#This Row],[Satış Miktarı]]</f>
        <v>6.7743616466909851E-3</v>
      </c>
      <c r="I11" t="s">
        <v>18</v>
      </c>
      <c r="J11">
        <v>20</v>
      </c>
      <c r="K11">
        <f>Table1[[#This Row],[Satış Miktarı]]*Table1[[#This Row],[Satış Fiyatı]]</f>
        <v>38380</v>
      </c>
      <c r="L11" t="s">
        <v>19</v>
      </c>
      <c r="M11" t="s">
        <v>55</v>
      </c>
      <c r="N11" t="s">
        <v>47</v>
      </c>
      <c r="O11">
        <v>0.2</v>
      </c>
      <c r="P11" t="s">
        <v>22</v>
      </c>
      <c r="Q11" t="s">
        <v>56</v>
      </c>
    </row>
    <row r="12" spans="1:17">
      <c r="A12">
        <v>779716772</v>
      </c>
      <c r="B12" t="s">
        <v>57</v>
      </c>
      <c r="C12" t="s">
        <v>34</v>
      </c>
      <c r="D12" s="1">
        <v>48063</v>
      </c>
      <c r="E12">
        <v>4640</v>
      </c>
      <c r="F12">
        <v>47</v>
      </c>
      <c r="G12" s="2">
        <v>1.01E-2</v>
      </c>
      <c r="H12" s="2">
        <f>Table1[[#This Row],[İade Miktarı]]/Table1[[#This Row],[Satış Miktarı]]</f>
        <v>1.0129310344827586E-2</v>
      </c>
      <c r="I12" t="s">
        <v>18</v>
      </c>
      <c r="J12">
        <v>35</v>
      </c>
      <c r="K12">
        <f>Table1[[#This Row],[Satış Miktarı]]*Table1[[#This Row],[Satış Fiyatı]]</f>
        <v>162400</v>
      </c>
      <c r="L12" t="s">
        <v>19</v>
      </c>
      <c r="M12" t="s">
        <v>58</v>
      </c>
      <c r="N12" t="s">
        <v>39</v>
      </c>
      <c r="O12">
        <v>0.2</v>
      </c>
      <c r="P12" t="s">
        <v>27</v>
      </c>
      <c r="Q12" t="s">
        <v>32</v>
      </c>
    </row>
    <row r="13" spans="1:17">
      <c r="A13">
        <v>84296813</v>
      </c>
      <c r="B13" t="s">
        <v>59</v>
      </c>
      <c r="C13" t="s">
        <v>17</v>
      </c>
      <c r="D13" s="1">
        <v>47775</v>
      </c>
      <c r="E13">
        <v>1712</v>
      </c>
      <c r="F13">
        <v>14</v>
      </c>
      <c r="G13" s="2">
        <v>8.2000000000000007E-3</v>
      </c>
      <c r="H13" s="2">
        <f>Table1[[#This Row],[İade Miktarı]]/Table1[[#This Row],[Satış Miktarı]]</f>
        <v>8.1775700934579431E-3</v>
      </c>
      <c r="I13" t="s">
        <v>18</v>
      </c>
      <c r="J13">
        <v>49</v>
      </c>
      <c r="K13">
        <f>Table1[[#This Row],[Satış Miktarı]]*Table1[[#This Row],[Satış Fiyatı]]</f>
        <v>83888</v>
      </c>
      <c r="L13" t="s">
        <v>19</v>
      </c>
      <c r="M13" t="s">
        <v>60</v>
      </c>
      <c r="N13" t="s">
        <v>61</v>
      </c>
      <c r="O13">
        <v>0.2</v>
      </c>
      <c r="P13" t="s">
        <v>27</v>
      </c>
      <c r="Q13" t="s">
        <v>62</v>
      </c>
    </row>
    <row r="14" spans="1:17">
      <c r="A14">
        <v>95577681</v>
      </c>
      <c r="B14" t="s">
        <v>63</v>
      </c>
      <c r="C14" t="s">
        <v>17</v>
      </c>
      <c r="D14" s="1">
        <v>47742</v>
      </c>
      <c r="E14">
        <v>3533</v>
      </c>
      <c r="F14">
        <v>50</v>
      </c>
      <c r="G14" s="2">
        <v>1.4200000000000001E-2</v>
      </c>
      <c r="H14" s="2">
        <f>Table1[[#This Row],[İade Miktarı]]/Table1[[#This Row],[Satış Miktarı]]</f>
        <v>1.4152278516841211E-2</v>
      </c>
      <c r="I14" t="s">
        <v>18</v>
      </c>
      <c r="J14">
        <v>32</v>
      </c>
      <c r="K14">
        <f>Table1[[#This Row],[Satış Miktarı]]*Table1[[#This Row],[Satış Fiyatı]]</f>
        <v>113056</v>
      </c>
      <c r="L14" t="s">
        <v>19</v>
      </c>
      <c r="M14" t="s">
        <v>64</v>
      </c>
      <c r="N14" t="s">
        <v>65</v>
      </c>
      <c r="O14">
        <v>0.2</v>
      </c>
      <c r="P14" t="s">
        <v>22</v>
      </c>
      <c r="Q14" t="s">
        <v>66</v>
      </c>
    </row>
    <row r="15" spans="1:17">
      <c r="A15">
        <v>93011668</v>
      </c>
      <c r="B15" t="s">
        <v>67</v>
      </c>
      <c r="C15" t="s">
        <v>17</v>
      </c>
      <c r="D15" s="1">
        <v>48242</v>
      </c>
      <c r="E15">
        <v>2173</v>
      </c>
      <c r="F15">
        <v>35</v>
      </c>
      <c r="G15" s="2">
        <v>1.61E-2</v>
      </c>
      <c r="H15" s="2">
        <f>Table1[[#This Row],[İade Miktarı]]/Table1[[#This Row],[Satış Miktarı]]</f>
        <v>1.6106764841233318E-2</v>
      </c>
      <c r="I15" t="s">
        <v>18</v>
      </c>
      <c r="J15">
        <v>22</v>
      </c>
      <c r="K15">
        <f>Table1[[#This Row],[Satış Miktarı]]*Table1[[#This Row],[Satış Fiyatı]]</f>
        <v>47806</v>
      </c>
      <c r="L15" t="s">
        <v>19</v>
      </c>
      <c r="M15" t="s">
        <v>68</v>
      </c>
      <c r="N15" t="s">
        <v>39</v>
      </c>
      <c r="O15">
        <v>0.2</v>
      </c>
      <c r="P15" t="s">
        <v>22</v>
      </c>
      <c r="Q15" t="s">
        <v>69</v>
      </c>
    </row>
    <row r="16" spans="1:17">
      <c r="A16">
        <v>78512802</v>
      </c>
      <c r="B16" t="s">
        <v>70</v>
      </c>
      <c r="C16" t="s">
        <v>17</v>
      </c>
      <c r="D16" s="1">
        <v>48578</v>
      </c>
      <c r="E16">
        <v>3485</v>
      </c>
      <c r="F16">
        <v>28</v>
      </c>
      <c r="G16" s="2">
        <v>8.0000000000000002E-3</v>
      </c>
      <c r="H16" s="2">
        <f>Table1[[#This Row],[İade Miktarı]]/Table1[[#This Row],[Satış Miktarı]]</f>
        <v>8.0344332855093251E-3</v>
      </c>
      <c r="I16" t="s">
        <v>18</v>
      </c>
      <c r="J16">
        <v>20</v>
      </c>
      <c r="K16">
        <f>Table1[[#This Row],[Satış Miktarı]]*Table1[[#This Row],[Satış Fiyatı]]</f>
        <v>69700</v>
      </c>
      <c r="L16" t="s">
        <v>19</v>
      </c>
      <c r="M16" t="s">
        <v>71</v>
      </c>
      <c r="N16" t="s">
        <v>31</v>
      </c>
      <c r="O16">
        <v>0.2</v>
      </c>
      <c r="P16" t="s">
        <v>22</v>
      </c>
      <c r="Q16" t="s">
        <v>72</v>
      </c>
    </row>
    <row r="17" spans="1:17">
      <c r="A17">
        <v>499786792</v>
      </c>
      <c r="B17" t="s">
        <v>73</v>
      </c>
      <c r="C17" t="s">
        <v>17</v>
      </c>
      <c r="D17" s="1">
        <v>47688</v>
      </c>
      <c r="E17">
        <v>4057</v>
      </c>
      <c r="F17">
        <v>30</v>
      </c>
      <c r="G17" s="2">
        <v>7.4000000000000003E-3</v>
      </c>
      <c r="H17" s="2">
        <f>Table1[[#This Row],[İade Miktarı]]/Table1[[#This Row],[Satış Miktarı]]</f>
        <v>7.3946265713581462E-3</v>
      </c>
      <c r="I17" t="s">
        <v>18</v>
      </c>
      <c r="J17">
        <v>35</v>
      </c>
      <c r="K17">
        <f>Table1[[#This Row],[Satış Miktarı]]*Table1[[#This Row],[Satış Fiyatı]]</f>
        <v>141995</v>
      </c>
      <c r="L17" t="s">
        <v>19</v>
      </c>
      <c r="M17" t="s">
        <v>74</v>
      </c>
      <c r="N17" t="s">
        <v>43</v>
      </c>
      <c r="O17">
        <v>0.2</v>
      </c>
      <c r="P17" t="s">
        <v>22</v>
      </c>
      <c r="Q17" t="s">
        <v>56</v>
      </c>
    </row>
    <row r="18" spans="1:17">
      <c r="A18">
        <v>387313784</v>
      </c>
      <c r="B18" t="s">
        <v>16</v>
      </c>
      <c r="C18" t="s">
        <v>17</v>
      </c>
      <c r="D18" s="1">
        <v>47966</v>
      </c>
      <c r="E18">
        <v>4512</v>
      </c>
      <c r="F18">
        <v>42</v>
      </c>
      <c r="G18" s="2">
        <v>9.2999999999999992E-3</v>
      </c>
      <c r="H18" s="2">
        <f>Table1[[#This Row],[İade Miktarı]]/Table1[[#This Row],[Satış Miktarı]]</f>
        <v>9.3085106382978719E-3</v>
      </c>
      <c r="I18" t="s">
        <v>18</v>
      </c>
      <c r="J18">
        <v>41</v>
      </c>
      <c r="K18">
        <f>Table1[[#This Row],[Satış Miktarı]]*Table1[[#This Row],[Satış Fiyatı]]</f>
        <v>184992</v>
      </c>
      <c r="L18" t="s">
        <v>19</v>
      </c>
      <c r="M18" t="s">
        <v>20</v>
      </c>
      <c r="N18" t="s">
        <v>21</v>
      </c>
      <c r="O18">
        <v>0.2</v>
      </c>
      <c r="P18" t="s">
        <v>22</v>
      </c>
      <c r="Q18" t="s">
        <v>75</v>
      </c>
    </row>
    <row r="19" spans="1:17">
      <c r="A19">
        <v>989266977</v>
      </c>
      <c r="B19" t="s">
        <v>24</v>
      </c>
      <c r="C19" t="s">
        <v>17</v>
      </c>
      <c r="D19" s="1">
        <v>47577</v>
      </c>
      <c r="E19">
        <v>1668</v>
      </c>
      <c r="F19">
        <v>21</v>
      </c>
      <c r="G19" s="2">
        <v>1.26E-2</v>
      </c>
      <c r="H19" s="2">
        <f>Table1[[#This Row],[İade Miktarı]]/Table1[[#This Row],[Satış Miktarı]]</f>
        <v>1.2589928057553957E-2</v>
      </c>
      <c r="I19" t="s">
        <v>18</v>
      </c>
      <c r="J19">
        <v>45</v>
      </c>
      <c r="K19">
        <f>Table1[[#This Row],[Satış Miktarı]]*Table1[[#This Row],[Satış Fiyatı]]</f>
        <v>75060</v>
      </c>
      <c r="L19" t="s">
        <v>19</v>
      </c>
      <c r="M19" t="s">
        <v>25</v>
      </c>
      <c r="N19" t="s">
        <v>21</v>
      </c>
      <c r="O19">
        <v>0.2</v>
      </c>
      <c r="P19" t="s">
        <v>22</v>
      </c>
      <c r="Q19" t="s">
        <v>28</v>
      </c>
    </row>
    <row r="20" spans="1:17">
      <c r="A20">
        <v>421144025</v>
      </c>
      <c r="B20" t="s">
        <v>29</v>
      </c>
      <c r="C20" t="s">
        <v>17</v>
      </c>
      <c r="D20" s="1">
        <v>47600</v>
      </c>
      <c r="E20">
        <v>3079</v>
      </c>
      <c r="F20">
        <v>28</v>
      </c>
      <c r="G20" s="2">
        <v>9.1000000000000004E-3</v>
      </c>
      <c r="H20" s="2">
        <f>Table1[[#This Row],[İade Miktarı]]/Table1[[#This Row],[Satış Miktarı]]</f>
        <v>9.0938616433907105E-3</v>
      </c>
      <c r="I20" t="s">
        <v>18</v>
      </c>
      <c r="J20">
        <v>20</v>
      </c>
      <c r="K20">
        <f>Table1[[#This Row],[Satış Miktarı]]*Table1[[#This Row],[Satış Fiyatı]]</f>
        <v>61580</v>
      </c>
      <c r="L20" t="s">
        <v>19</v>
      </c>
      <c r="M20" t="s">
        <v>30</v>
      </c>
      <c r="N20" t="s">
        <v>76</v>
      </c>
      <c r="O20">
        <v>0.2</v>
      </c>
      <c r="P20" t="s">
        <v>22</v>
      </c>
      <c r="Q20" t="s">
        <v>77</v>
      </c>
    </row>
    <row r="21" spans="1:17">
      <c r="A21">
        <v>247019161</v>
      </c>
      <c r="B21" t="s">
        <v>33</v>
      </c>
      <c r="C21" t="s">
        <v>34</v>
      </c>
      <c r="D21" s="1">
        <v>48331</v>
      </c>
      <c r="E21">
        <v>1727</v>
      </c>
      <c r="F21">
        <v>27</v>
      </c>
      <c r="G21" s="2">
        <v>1.5599999999999999E-2</v>
      </c>
      <c r="H21" s="2">
        <f>Table1[[#This Row],[İade Miktarı]]/Table1[[#This Row],[Satış Miktarı]]</f>
        <v>1.5634047481181239E-2</v>
      </c>
      <c r="I21" t="s">
        <v>18</v>
      </c>
      <c r="J21">
        <v>47</v>
      </c>
      <c r="K21">
        <f>Table1[[#This Row],[Satış Miktarı]]*Table1[[#This Row],[Satış Fiyatı]]</f>
        <v>81169</v>
      </c>
      <c r="L21" t="s">
        <v>19</v>
      </c>
      <c r="M21" t="s">
        <v>35</v>
      </c>
      <c r="N21" t="s">
        <v>78</v>
      </c>
      <c r="O21">
        <v>0.2</v>
      </c>
      <c r="P21" t="s">
        <v>22</v>
      </c>
      <c r="Q21" t="s">
        <v>32</v>
      </c>
    </row>
    <row r="22" spans="1:17">
      <c r="A22">
        <v>450401046</v>
      </c>
      <c r="B22" t="s">
        <v>37</v>
      </c>
      <c r="C22" t="s">
        <v>34</v>
      </c>
      <c r="D22" s="1">
        <v>48374</v>
      </c>
      <c r="E22">
        <v>1846</v>
      </c>
      <c r="F22">
        <v>42</v>
      </c>
      <c r="G22" s="2">
        <v>2.2800000000000001E-2</v>
      </c>
      <c r="H22" s="2">
        <f>Table1[[#This Row],[İade Miktarı]]/Table1[[#This Row],[Satış Miktarı]]</f>
        <v>2.2751895991332611E-2</v>
      </c>
      <c r="I22" t="s">
        <v>18</v>
      </c>
      <c r="J22">
        <v>42</v>
      </c>
      <c r="K22">
        <f>Table1[[#This Row],[Satış Miktarı]]*Table1[[#This Row],[Satış Fiyatı]]</f>
        <v>77532</v>
      </c>
      <c r="L22" t="s">
        <v>19</v>
      </c>
      <c r="M22" t="s">
        <v>38</v>
      </c>
      <c r="N22" t="s">
        <v>43</v>
      </c>
      <c r="O22">
        <v>0.2</v>
      </c>
      <c r="P22" t="s">
        <v>22</v>
      </c>
      <c r="Q22" t="s">
        <v>79</v>
      </c>
    </row>
    <row r="23" spans="1:17">
      <c r="A23">
        <v>408095334</v>
      </c>
      <c r="B23" t="s">
        <v>41</v>
      </c>
      <c r="C23" t="s">
        <v>17</v>
      </c>
      <c r="D23" s="1">
        <v>47929</v>
      </c>
      <c r="E23">
        <v>2031</v>
      </c>
      <c r="F23">
        <v>20</v>
      </c>
      <c r="G23" s="2">
        <v>9.7999999999999997E-3</v>
      </c>
      <c r="H23" s="2">
        <f>Table1[[#This Row],[İade Miktarı]]/Table1[[#This Row],[Satış Miktarı]]</f>
        <v>9.8473658296405718E-3</v>
      </c>
      <c r="I23" t="s">
        <v>18</v>
      </c>
      <c r="J23">
        <v>28</v>
      </c>
      <c r="K23">
        <f>Table1[[#This Row],[Satış Miktarı]]*Table1[[#This Row],[Satış Fiyatı]]</f>
        <v>56868</v>
      </c>
      <c r="L23" t="s">
        <v>19</v>
      </c>
      <c r="M23" t="s">
        <v>42</v>
      </c>
      <c r="N23" t="s">
        <v>76</v>
      </c>
      <c r="O23">
        <v>0.2</v>
      </c>
      <c r="P23" t="s">
        <v>22</v>
      </c>
      <c r="Q23" t="s">
        <v>79</v>
      </c>
    </row>
    <row r="24" spans="1:17">
      <c r="A24">
        <v>277425299</v>
      </c>
      <c r="B24" t="s">
        <v>44</v>
      </c>
      <c r="C24" t="s">
        <v>17</v>
      </c>
      <c r="D24" s="1">
        <v>48041</v>
      </c>
      <c r="E24">
        <v>4433</v>
      </c>
      <c r="F24">
        <v>30</v>
      </c>
      <c r="G24" s="2">
        <v>6.7999999999999996E-3</v>
      </c>
      <c r="H24" s="2">
        <f>Table1[[#This Row],[İade Miktarı]]/Table1[[#This Row],[Satış Miktarı]]</f>
        <v>6.7674261222648319E-3</v>
      </c>
      <c r="I24" t="s">
        <v>18</v>
      </c>
      <c r="J24">
        <v>39</v>
      </c>
      <c r="K24">
        <f>Table1[[#This Row],[Satış Miktarı]]*Table1[[#This Row],[Satış Fiyatı]]</f>
        <v>172887</v>
      </c>
      <c r="L24" t="s">
        <v>19</v>
      </c>
      <c r="M24" t="s">
        <v>46</v>
      </c>
      <c r="N24" t="s">
        <v>21</v>
      </c>
      <c r="O24">
        <v>0.2</v>
      </c>
      <c r="P24" t="s">
        <v>22</v>
      </c>
      <c r="Q24" t="s">
        <v>56</v>
      </c>
    </row>
    <row r="25" spans="1:17">
      <c r="A25">
        <v>699233387</v>
      </c>
      <c r="B25" t="s">
        <v>49</v>
      </c>
      <c r="C25" t="s">
        <v>34</v>
      </c>
      <c r="D25" s="1">
        <v>47873</v>
      </c>
      <c r="E25">
        <v>3125</v>
      </c>
      <c r="F25">
        <v>46</v>
      </c>
      <c r="G25" s="2">
        <v>1.47E-2</v>
      </c>
      <c r="H25" s="2">
        <f>Table1[[#This Row],[İade Miktarı]]/Table1[[#This Row],[Satış Miktarı]]</f>
        <v>1.472E-2</v>
      </c>
      <c r="I25" t="s">
        <v>18</v>
      </c>
      <c r="J25">
        <v>38</v>
      </c>
      <c r="K25">
        <f>Table1[[#This Row],[Satış Miktarı]]*Table1[[#This Row],[Satış Fiyatı]]</f>
        <v>118750</v>
      </c>
      <c r="L25" t="s">
        <v>19</v>
      </c>
      <c r="M25" t="s">
        <v>46</v>
      </c>
      <c r="N25" t="s">
        <v>43</v>
      </c>
      <c r="O25">
        <v>0.2</v>
      </c>
      <c r="P25" t="s">
        <v>27</v>
      </c>
      <c r="Q25" t="s">
        <v>48</v>
      </c>
    </row>
    <row r="26" spans="1:17">
      <c r="A26">
        <v>209997565</v>
      </c>
      <c r="B26" t="s">
        <v>51</v>
      </c>
      <c r="C26" t="s">
        <v>17</v>
      </c>
      <c r="D26" s="1">
        <v>48229</v>
      </c>
      <c r="E26">
        <v>1308</v>
      </c>
      <c r="F26">
        <v>27</v>
      </c>
      <c r="G26" s="2">
        <v>2.06E-2</v>
      </c>
      <c r="H26" s="2">
        <f>Table1[[#This Row],[İade Miktarı]]/Table1[[#This Row],[Satış Miktarı]]</f>
        <v>2.0642201834862386E-2</v>
      </c>
      <c r="I26" t="s">
        <v>18</v>
      </c>
      <c r="J26">
        <v>34</v>
      </c>
      <c r="K26">
        <f>Table1[[#This Row],[Satış Miktarı]]*Table1[[#This Row],[Satış Fiyatı]]</f>
        <v>44472</v>
      </c>
      <c r="L26" t="s">
        <v>19</v>
      </c>
      <c r="M26" t="s">
        <v>52</v>
      </c>
      <c r="N26" t="s">
        <v>76</v>
      </c>
      <c r="O26">
        <v>0.2</v>
      </c>
      <c r="P26" t="s">
        <v>22</v>
      </c>
      <c r="Q26" t="s">
        <v>72</v>
      </c>
    </row>
    <row r="27" spans="1:17">
      <c r="A27">
        <v>764584492</v>
      </c>
      <c r="B27" t="s">
        <v>54</v>
      </c>
      <c r="C27" t="s">
        <v>34</v>
      </c>
      <c r="D27" s="1">
        <v>48381</v>
      </c>
      <c r="E27">
        <v>4070</v>
      </c>
      <c r="F27">
        <v>30</v>
      </c>
      <c r="G27" s="2">
        <v>7.4000000000000003E-3</v>
      </c>
      <c r="H27" s="2">
        <f>Table1[[#This Row],[İade Miktarı]]/Table1[[#This Row],[Satış Miktarı]]</f>
        <v>7.3710073710073713E-3</v>
      </c>
      <c r="I27" t="s">
        <v>18</v>
      </c>
      <c r="J27">
        <v>45</v>
      </c>
      <c r="K27">
        <f>Table1[[#This Row],[Satış Miktarı]]*Table1[[#This Row],[Satış Fiyatı]]</f>
        <v>183150</v>
      </c>
      <c r="L27" t="s">
        <v>19</v>
      </c>
      <c r="M27" t="s">
        <v>55</v>
      </c>
      <c r="N27" t="s">
        <v>26</v>
      </c>
      <c r="O27">
        <v>0.2</v>
      </c>
      <c r="P27" t="s">
        <v>22</v>
      </c>
      <c r="Q27" t="s">
        <v>40</v>
      </c>
    </row>
    <row r="28" spans="1:17">
      <c r="A28">
        <v>984361562</v>
      </c>
      <c r="B28" t="s">
        <v>57</v>
      </c>
      <c r="C28" t="s">
        <v>34</v>
      </c>
      <c r="D28" s="1">
        <v>48199</v>
      </c>
      <c r="E28">
        <v>1015</v>
      </c>
      <c r="F28">
        <v>21</v>
      </c>
      <c r="G28" s="2">
        <v>2.07E-2</v>
      </c>
      <c r="H28" s="2">
        <f>Table1[[#This Row],[İade Miktarı]]/Table1[[#This Row],[Satış Miktarı]]</f>
        <v>2.0689655172413793E-2</v>
      </c>
      <c r="I28" t="s">
        <v>18</v>
      </c>
      <c r="J28">
        <v>34</v>
      </c>
      <c r="K28">
        <f>Table1[[#This Row],[Satış Miktarı]]*Table1[[#This Row],[Satış Fiyatı]]</f>
        <v>34510</v>
      </c>
      <c r="L28" t="s">
        <v>19</v>
      </c>
      <c r="M28" t="s">
        <v>58</v>
      </c>
      <c r="N28" t="s">
        <v>39</v>
      </c>
      <c r="O28">
        <v>0.2</v>
      </c>
      <c r="P28" t="s">
        <v>27</v>
      </c>
      <c r="Q28" t="s">
        <v>62</v>
      </c>
    </row>
    <row r="29" spans="1:17">
      <c r="A29">
        <v>738052081</v>
      </c>
      <c r="B29" t="s">
        <v>59</v>
      </c>
      <c r="C29" t="s">
        <v>17</v>
      </c>
      <c r="D29" s="1">
        <v>48263</v>
      </c>
      <c r="E29">
        <v>1294</v>
      </c>
      <c r="F29">
        <v>29</v>
      </c>
      <c r="G29" s="2">
        <v>2.24E-2</v>
      </c>
      <c r="H29" s="2">
        <f>Table1[[#This Row],[İade Miktarı]]/Table1[[#This Row],[Satış Miktarı]]</f>
        <v>2.241112828438949E-2</v>
      </c>
      <c r="I29" t="s">
        <v>18</v>
      </c>
      <c r="J29">
        <v>37</v>
      </c>
      <c r="K29">
        <f>Table1[[#This Row],[Satış Miktarı]]*Table1[[#This Row],[Satış Fiyatı]]</f>
        <v>47878</v>
      </c>
      <c r="L29" t="s">
        <v>19</v>
      </c>
      <c r="M29" t="s">
        <v>60</v>
      </c>
      <c r="N29" t="s">
        <v>43</v>
      </c>
      <c r="O29">
        <v>0.2</v>
      </c>
      <c r="P29" t="s">
        <v>22</v>
      </c>
      <c r="Q29" t="s">
        <v>53</v>
      </c>
    </row>
    <row r="30" spans="1:17">
      <c r="A30">
        <v>75315714</v>
      </c>
      <c r="B30" t="s">
        <v>63</v>
      </c>
      <c r="C30" t="s">
        <v>17</v>
      </c>
      <c r="D30" s="1">
        <v>48411</v>
      </c>
      <c r="E30">
        <v>3008</v>
      </c>
      <c r="F30">
        <v>19</v>
      </c>
      <c r="G30" s="2">
        <v>6.3E-3</v>
      </c>
      <c r="H30" s="2">
        <f>Table1[[#This Row],[İade Miktarı]]/Table1[[#This Row],[Satış Miktarı]]</f>
        <v>6.3164893617021272E-3</v>
      </c>
      <c r="I30" t="s">
        <v>18</v>
      </c>
      <c r="J30">
        <v>20</v>
      </c>
      <c r="K30">
        <f>Table1[[#This Row],[Satış Miktarı]]*Table1[[#This Row],[Satış Fiyatı]]</f>
        <v>60160</v>
      </c>
      <c r="L30" t="s">
        <v>19</v>
      </c>
      <c r="M30" t="s">
        <v>64</v>
      </c>
      <c r="N30" t="s">
        <v>78</v>
      </c>
      <c r="O30">
        <v>0.2</v>
      </c>
      <c r="P30" t="s">
        <v>27</v>
      </c>
      <c r="Q30" t="s">
        <v>28</v>
      </c>
    </row>
    <row r="31" spans="1:17">
      <c r="A31">
        <v>322338038</v>
      </c>
      <c r="B31" t="s">
        <v>67</v>
      </c>
      <c r="C31" t="s">
        <v>17</v>
      </c>
      <c r="D31" s="1">
        <v>47614</v>
      </c>
      <c r="E31">
        <v>4389</v>
      </c>
      <c r="F31">
        <v>37</v>
      </c>
      <c r="G31" s="2">
        <v>8.3999999999999995E-3</v>
      </c>
      <c r="H31" s="2">
        <f>Table1[[#This Row],[İade Miktarı]]/Table1[[#This Row],[Satış Miktarı]]</f>
        <v>8.4301663249031662E-3</v>
      </c>
      <c r="I31" t="s">
        <v>18</v>
      </c>
      <c r="J31">
        <v>24</v>
      </c>
      <c r="K31">
        <f>Table1[[#This Row],[Satış Miktarı]]*Table1[[#This Row],[Satış Fiyatı]]</f>
        <v>105336</v>
      </c>
      <c r="L31" t="s">
        <v>19</v>
      </c>
      <c r="M31" t="s">
        <v>68</v>
      </c>
      <c r="N31" t="s">
        <v>21</v>
      </c>
      <c r="O31">
        <v>0.2</v>
      </c>
      <c r="P31" t="s">
        <v>27</v>
      </c>
      <c r="Q31" t="s">
        <v>69</v>
      </c>
    </row>
    <row r="32" spans="1:17">
      <c r="A32">
        <v>919016414</v>
      </c>
      <c r="B32" t="s">
        <v>70</v>
      </c>
      <c r="C32" t="s">
        <v>17</v>
      </c>
      <c r="D32" s="1">
        <v>48134</v>
      </c>
      <c r="E32">
        <v>1189</v>
      </c>
      <c r="F32">
        <v>18</v>
      </c>
      <c r="G32" s="2">
        <v>1.5100000000000001E-2</v>
      </c>
      <c r="H32" s="2">
        <f>Table1[[#This Row],[İade Miktarı]]/Table1[[#This Row],[Satış Miktarı]]</f>
        <v>1.5138772077375946E-2</v>
      </c>
      <c r="I32" t="s">
        <v>45</v>
      </c>
      <c r="J32">
        <v>20</v>
      </c>
      <c r="K32">
        <f>Table1[[#This Row],[Satış Miktarı]]*Table1[[#This Row],[Satış Fiyatı]]</f>
        <v>23780</v>
      </c>
      <c r="L32" t="s">
        <v>19</v>
      </c>
      <c r="M32" t="s">
        <v>71</v>
      </c>
      <c r="N32" t="s">
        <v>43</v>
      </c>
      <c r="O32">
        <v>0.2</v>
      </c>
      <c r="P32" t="s">
        <v>27</v>
      </c>
      <c r="Q32" t="s">
        <v>69</v>
      </c>
    </row>
    <row r="33" spans="1:17">
      <c r="A33">
        <v>700729527</v>
      </c>
      <c r="B33" t="s">
        <v>73</v>
      </c>
      <c r="C33" t="s">
        <v>17</v>
      </c>
      <c r="D33" s="1">
        <v>48132</v>
      </c>
      <c r="E33">
        <v>2426</v>
      </c>
      <c r="F33">
        <v>23</v>
      </c>
      <c r="G33" s="2">
        <v>9.4999999999999998E-3</v>
      </c>
      <c r="H33" s="2">
        <f>Table1[[#This Row],[İade Miktarı]]/Table1[[#This Row],[Satış Miktarı]]</f>
        <v>9.4806265457543278E-3</v>
      </c>
      <c r="I33" t="s">
        <v>18</v>
      </c>
      <c r="J33">
        <v>38</v>
      </c>
      <c r="K33">
        <f>Table1[[#This Row],[Satış Miktarı]]*Table1[[#This Row],[Satış Fiyatı]]</f>
        <v>92188</v>
      </c>
      <c r="L33" t="s">
        <v>19</v>
      </c>
      <c r="M33" t="s">
        <v>74</v>
      </c>
      <c r="N33" t="s">
        <v>76</v>
      </c>
      <c r="O33">
        <v>0.2</v>
      </c>
      <c r="P33" t="s">
        <v>22</v>
      </c>
      <c r="Q33" t="s">
        <v>23</v>
      </c>
    </row>
    <row r="34" spans="1:17">
      <c r="A34">
        <v>698733752</v>
      </c>
      <c r="B34" t="s">
        <v>16</v>
      </c>
      <c r="C34" t="s">
        <v>17</v>
      </c>
      <c r="D34" s="1">
        <v>47667</v>
      </c>
      <c r="E34">
        <v>4135</v>
      </c>
      <c r="F34">
        <v>19</v>
      </c>
      <c r="G34" s="2">
        <v>4.5999999999999999E-3</v>
      </c>
      <c r="H34" s="2">
        <f>Table1[[#This Row],[İade Miktarı]]/Table1[[#This Row],[Satış Miktarı]]</f>
        <v>4.5949214026602177E-3</v>
      </c>
      <c r="I34" t="s">
        <v>18</v>
      </c>
      <c r="J34">
        <v>29</v>
      </c>
      <c r="K34">
        <f>Table1[[#This Row],[Satış Miktarı]]*Table1[[#This Row],[Satış Fiyatı]]</f>
        <v>119915</v>
      </c>
      <c r="L34" t="s">
        <v>19</v>
      </c>
      <c r="M34" t="s">
        <v>20</v>
      </c>
      <c r="N34" t="s">
        <v>50</v>
      </c>
      <c r="O34">
        <v>0.2</v>
      </c>
      <c r="P34" t="s">
        <v>27</v>
      </c>
      <c r="Q34" t="s">
        <v>80</v>
      </c>
    </row>
    <row r="35" spans="1:17">
      <c r="A35">
        <v>483874140</v>
      </c>
      <c r="B35" t="s">
        <v>24</v>
      </c>
      <c r="C35" t="s">
        <v>17</v>
      </c>
      <c r="D35" s="1">
        <v>48152</v>
      </c>
      <c r="E35">
        <v>3292</v>
      </c>
      <c r="F35">
        <v>28</v>
      </c>
      <c r="G35" s="2">
        <v>8.5000000000000006E-3</v>
      </c>
      <c r="H35" s="2">
        <f>Table1[[#This Row],[İade Miktarı]]/Table1[[#This Row],[Satış Miktarı]]</f>
        <v>8.5054678007290396E-3</v>
      </c>
      <c r="I35" t="s">
        <v>18</v>
      </c>
      <c r="J35">
        <v>30</v>
      </c>
      <c r="K35">
        <f>Table1[[#This Row],[Satış Miktarı]]*Table1[[#This Row],[Satış Fiyatı]]</f>
        <v>98760</v>
      </c>
      <c r="L35" t="s">
        <v>19</v>
      </c>
      <c r="M35" t="s">
        <v>25</v>
      </c>
      <c r="N35" t="s">
        <v>31</v>
      </c>
      <c r="O35">
        <v>0.2</v>
      </c>
      <c r="P35" t="s">
        <v>27</v>
      </c>
      <c r="Q35" t="s">
        <v>80</v>
      </c>
    </row>
    <row r="36" spans="1:17">
      <c r="A36">
        <v>260934279</v>
      </c>
      <c r="B36" t="s">
        <v>29</v>
      </c>
      <c r="C36" t="s">
        <v>17</v>
      </c>
      <c r="D36" s="1">
        <v>48027</v>
      </c>
      <c r="E36">
        <v>3090</v>
      </c>
      <c r="F36">
        <v>14</v>
      </c>
      <c r="G36" s="2">
        <v>4.4999999999999997E-3</v>
      </c>
      <c r="H36" s="2">
        <f>Table1[[#This Row],[İade Miktarı]]/Table1[[#This Row],[Satış Miktarı]]</f>
        <v>4.5307443365695792E-3</v>
      </c>
      <c r="I36" t="s">
        <v>18</v>
      </c>
      <c r="J36">
        <v>45</v>
      </c>
      <c r="K36">
        <f>Table1[[#This Row],[Satış Miktarı]]*Table1[[#This Row],[Satış Fiyatı]]</f>
        <v>139050</v>
      </c>
      <c r="L36" t="s">
        <v>19</v>
      </c>
      <c r="M36" t="s">
        <v>30</v>
      </c>
      <c r="N36" t="s">
        <v>61</v>
      </c>
      <c r="O36">
        <v>0.2</v>
      </c>
      <c r="P36" t="s">
        <v>27</v>
      </c>
      <c r="Q36" t="s">
        <v>77</v>
      </c>
    </row>
    <row r="37" spans="1:17">
      <c r="A37">
        <v>72932923</v>
      </c>
      <c r="B37" t="s">
        <v>33</v>
      </c>
      <c r="C37" t="s">
        <v>34</v>
      </c>
      <c r="D37" s="1">
        <v>47624</v>
      </c>
      <c r="E37">
        <v>4514</v>
      </c>
      <c r="F37">
        <v>18</v>
      </c>
      <c r="G37" s="2">
        <v>4.0000000000000001E-3</v>
      </c>
      <c r="H37" s="2">
        <f>Table1[[#This Row],[İade Miktarı]]/Table1[[#This Row],[Satış Miktarı]]</f>
        <v>3.9875941515285776E-3</v>
      </c>
      <c r="I37" t="s">
        <v>18</v>
      </c>
      <c r="J37">
        <v>46</v>
      </c>
      <c r="K37">
        <f>Table1[[#This Row],[Satış Miktarı]]*Table1[[#This Row],[Satış Fiyatı]]</f>
        <v>207644</v>
      </c>
      <c r="L37" t="s">
        <v>19</v>
      </c>
      <c r="M37" t="s">
        <v>35</v>
      </c>
      <c r="N37" t="s">
        <v>65</v>
      </c>
      <c r="O37">
        <v>0.2</v>
      </c>
      <c r="P37" t="s">
        <v>22</v>
      </c>
      <c r="Q37" t="s">
        <v>23</v>
      </c>
    </row>
    <row r="38" spans="1:17">
      <c r="A38">
        <v>796671823</v>
      </c>
      <c r="B38" t="s">
        <v>37</v>
      </c>
      <c r="C38" t="s">
        <v>34</v>
      </c>
      <c r="D38" s="1">
        <v>47687</v>
      </c>
      <c r="E38">
        <v>4751</v>
      </c>
      <c r="F38">
        <v>41</v>
      </c>
      <c r="G38" s="2">
        <v>8.6E-3</v>
      </c>
      <c r="H38" s="2">
        <f>Table1[[#This Row],[İade Miktarı]]/Table1[[#This Row],[Satış Miktarı]]</f>
        <v>8.6297621553357191E-3</v>
      </c>
      <c r="I38" t="s">
        <v>18</v>
      </c>
      <c r="J38">
        <v>35</v>
      </c>
      <c r="K38">
        <f>Table1[[#This Row],[Satış Miktarı]]*Table1[[#This Row],[Satış Fiyatı]]</f>
        <v>166285</v>
      </c>
      <c r="L38" t="s">
        <v>19</v>
      </c>
      <c r="M38" t="s">
        <v>38</v>
      </c>
      <c r="N38" t="s">
        <v>78</v>
      </c>
      <c r="O38">
        <v>0.2</v>
      </c>
      <c r="P38" t="s">
        <v>27</v>
      </c>
      <c r="Q38" t="s">
        <v>53</v>
      </c>
    </row>
    <row r="39" spans="1:17">
      <c r="A39">
        <v>747536355</v>
      </c>
      <c r="B39" t="s">
        <v>41</v>
      </c>
      <c r="C39" t="s">
        <v>17</v>
      </c>
      <c r="D39" s="1">
        <v>47720</v>
      </c>
      <c r="E39">
        <v>3353</v>
      </c>
      <c r="F39">
        <v>12</v>
      </c>
      <c r="G39" s="2">
        <v>3.5999999999999999E-3</v>
      </c>
      <c r="H39" s="2">
        <f>Table1[[#This Row],[İade Miktarı]]/Table1[[#This Row],[Satış Miktarı]]</f>
        <v>3.5788845809722638E-3</v>
      </c>
      <c r="I39" t="s">
        <v>18</v>
      </c>
      <c r="J39">
        <v>29</v>
      </c>
      <c r="K39">
        <f>Table1[[#This Row],[Satış Miktarı]]*Table1[[#This Row],[Satış Fiyatı]]</f>
        <v>97237</v>
      </c>
      <c r="L39" t="s">
        <v>19</v>
      </c>
      <c r="M39" t="s">
        <v>42</v>
      </c>
      <c r="N39" t="s">
        <v>21</v>
      </c>
      <c r="O39">
        <v>0.2</v>
      </c>
      <c r="P39" t="s">
        <v>22</v>
      </c>
      <c r="Q39" t="s">
        <v>69</v>
      </c>
    </row>
    <row r="40" spans="1:17">
      <c r="A40">
        <v>302475099</v>
      </c>
      <c r="B40" t="s">
        <v>44</v>
      </c>
      <c r="C40" t="s">
        <v>17</v>
      </c>
      <c r="D40" s="1">
        <v>47912</v>
      </c>
      <c r="E40">
        <v>1933</v>
      </c>
      <c r="F40">
        <v>26</v>
      </c>
      <c r="G40" s="2">
        <v>1.35E-2</v>
      </c>
      <c r="H40" s="2">
        <f>Table1[[#This Row],[İade Miktarı]]/Table1[[#This Row],[Satış Miktarı]]</f>
        <v>1.3450594930160372E-2</v>
      </c>
      <c r="I40" t="s">
        <v>18</v>
      </c>
      <c r="J40">
        <v>20</v>
      </c>
      <c r="K40">
        <f>Table1[[#This Row],[Satış Miktarı]]*Table1[[#This Row],[Satış Fiyatı]]</f>
        <v>38660</v>
      </c>
      <c r="L40" t="s">
        <v>19</v>
      </c>
      <c r="M40" t="s">
        <v>46</v>
      </c>
      <c r="N40" t="s">
        <v>61</v>
      </c>
      <c r="O40">
        <v>0.2</v>
      </c>
      <c r="P40" t="s">
        <v>22</v>
      </c>
      <c r="Q40" t="s">
        <v>79</v>
      </c>
    </row>
    <row r="41" spans="1:17">
      <c r="A41">
        <v>326782196</v>
      </c>
      <c r="B41" t="s">
        <v>49</v>
      </c>
      <c r="C41" t="s">
        <v>34</v>
      </c>
      <c r="D41" s="1">
        <v>48375</v>
      </c>
      <c r="E41">
        <v>3940</v>
      </c>
      <c r="F41">
        <v>37</v>
      </c>
      <c r="G41" s="2">
        <v>9.4000000000000004E-3</v>
      </c>
      <c r="H41" s="2">
        <f>Table1[[#This Row],[İade Miktarı]]/Table1[[#This Row],[Satış Miktarı]]</f>
        <v>9.3908629441624373E-3</v>
      </c>
      <c r="I41" t="s">
        <v>81</v>
      </c>
      <c r="J41">
        <v>33</v>
      </c>
      <c r="K41">
        <f>Table1[[#This Row],[Satış Miktarı]]*Table1[[#This Row],[Satış Fiyatı]]</f>
        <v>130020</v>
      </c>
      <c r="L41" t="s">
        <v>19</v>
      </c>
      <c r="M41" t="s">
        <v>46</v>
      </c>
      <c r="N41" t="s">
        <v>65</v>
      </c>
      <c r="O41">
        <v>0.2</v>
      </c>
      <c r="P41" t="s">
        <v>22</v>
      </c>
      <c r="Q41" t="s">
        <v>56</v>
      </c>
    </row>
    <row r="42" spans="1:17">
      <c r="A42">
        <v>899961615</v>
      </c>
      <c r="B42" t="s">
        <v>51</v>
      </c>
      <c r="C42" t="s">
        <v>17</v>
      </c>
      <c r="D42" s="1">
        <v>47511</v>
      </c>
      <c r="E42">
        <v>4848</v>
      </c>
      <c r="F42">
        <v>41</v>
      </c>
      <c r="G42" s="2">
        <v>8.5000000000000006E-3</v>
      </c>
      <c r="H42" s="2">
        <f>Table1[[#This Row],[İade Miktarı]]/Table1[[#This Row],[Satış Miktarı]]</f>
        <v>8.4570957095709571E-3</v>
      </c>
      <c r="I42" t="s">
        <v>18</v>
      </c>
      <c r="J42">
        <v>33</v>
      </c>
      <c r="K42">
        <f>Table1[[#This Row],[Satış Miktarı]]*Table1[[#This Row],[Satış Fiyatı]]</f>
        <v>159984</v>
      </c>
      <c r="L42" t="s">
        <v>19</v>
      </c>
      <c r="M42" t="s">
        <v>52</v>
      </c>
      <c r="N42" t="s">
        <v>31</v>
      </c>
      <c r="O42">
        <v>0.2</v>
      </c>
      <c r="P42" t="s">
        <v>22</v>
      </c>
      <c r="Q42" t="s">
        <v>40</v>
      </c>
    </row>
    <row r="43" spans="1:17">
      <c r="A43">
        <v>873719539</v>
      </c>
      <c r="B43" t="s">
        <v>54</v>
      </c>
      <c r="C43" t="s">
        <v>34</v>
      </c>
      <c r="D43" s="1">
        <v>47776</v>
      </c>
      <c r="E43">
        <v>4881</v>
      </c>
      <c r="F43">
        <v>27</v>
      </c>
      <c r="G43" s="2">
        <v>5.4999999999999997E-3</v>
      </c>
      <c r="H43" s="2">
        <f>Table1[[#This Row],[İade Miktarı]]/Table1[[#This Row],[Satış Miktarı]]</f>
        <v>5.531653349723417E-3</v>
      </c>
      <c r="I43" t="s">
        <v>18</v>
      </c>
      <c r="J43">
        <v>50</v>
      </c>
      <c r="K43">
        <f>Table1[[#This Row],[Satış Miktarı]]*Table1[[#This Row],[Satış Fiyatı]]</f>
        <v>244050</v>
      </c>
      <c r="L43" t="s">
        <v>19</v>
      </c>
      <c r="M43" t="s">
        <v>55</v>
      </c>
      <c r="N43" t="s">
        <v>76</v>
      </c>
      <c r="O43">
        <v>0.2</v>
      </c>
      <c r="P43" t="s">
        <v>22</v>
      </c>
      <c r="Q43" t="s">
        <v>53</v>
      </c>
    </row>
    <row r="44" spans="1:17">
      <c r="A44">
        <v>351607604</v>
      </c>
      <c r="B44" t="s">
        <v>57</v>
      </c>
      <c r="C44" t="s">
        <v>34</v>
      </c>
      <c r="D44" s="1">
        <v>48383</v>
      </c>
      <c r="E44">
        <v>3025</v>
      </c>
      <c r="F44">
        <v>44</v>
      </c>
      <c r="G44" s="2">
        <v>1.4500000000000001E-2</v>
      </c>
      <c r="H44" s="2">
        <f>Table1[[#This Row],[İade Miktarı]]/Table1[[#This Row],[Satış Miktarı]]</f>
        <v>1.4545454545454545E-2</v>
      </c>
      <c r="I44" t="s">
        <v>18</v>
      </c>
      <c r="J44">
        <v>30</v>
      </c>
      <c r="K44">
        <f>Table1[[#This Row],[Satış Miktarı]]*Table1[[#This Row],[Satış Fiyatı]]</f>
        <v>90750</v>
      </c>
      <c r="L44" t="s">
        <v>19</v>
      </c>
      <c r="M44" t="s">
        <v>58</v>
      </c>
      <c r="N44" t="s">
        <v>65</v>
      </c>
      <c r="O44">
        <v>0.2</v>
      </c>
      <c r="P44" t="s">
        <v>27</v>
      </c>
      <c r="Q44" t="s">
        <v>53</v>
      </c>
    </row>
    <row r="45" spans="1:17">
      <c r="A45">
        <v>815452492</v>
      </c>
      <c r="B45" t="s">
        <v>59</v>
      </c>
      <c r="C45" t="s">
        <v>17</v>
      </c>
      <c r="D45" s="1">
        <v>48261</v>
      </c>
      <c r="E45">
        <v>3684</v>
      </c>
      <c r="F45">
        <v>10</v>
      </c>
      <c r="G45" s="2">
        <v>2.7000000000000001E-3</v>
      </c>
      <c r="H45" s="2">
        <f>Table1[[#This Row],[İade Miktarı]]/Table1[[#This Row],[Satış Miktarı]]</f>
        <v>2.7144408251900108E-3</v>
      </c>
      <c r="I45" t="s">
        <v>18</v>
      </c>
      <c r="J45">
        <v>32</v>
      </c>
      <c r="K45">
        <f>Table1[[#This Row],[Satış Miktarı]]*Table1[[#This Row],[Satış Fiyatı]]</f>
        <v>117888</v>
      </c>
      <c r="L45" t="s">
        <v>19</v>
      </c>
      <c r="M45" t="s">
        <v>60</v>
      </c>
      <c r="N45" t="s">
        <v>43</v>
      </c>
      <c r="O45">
        <v>0.2</v>
      </c>
      <c r="P45" t="s">
        <v>22</v>
      </c>
      <c r="Q45" t="s">
        <v>82</v>
      </c>
    </row>
    <row r="46" spans="1:17">
      <c r="A46">
        <v>498352952</v>
      </c>
      <c r="B46" t="s">
        <v>63</v>
      </c>
      <c r="C46" t="s">
        <v>17</v>
      </c>
      <c r="D46" s="1">
        <v>48101</v>
      </c>
      <c r="E46">
        <v>3933</v>
      </c>
      <c r="F46">
        <v>18</v>
      </c>
      <c r="G46" s="2">
        <v>4.5999999999999999E-3</v>
      </c>
      <c r="H46" s="2">
        <f>Table1[[#This Row],[İade Miktarı]]/Table1[[#This Row],[Satış Miktarı]]</f>
        <v>4.5766590389016018E-3</v>
      </c>
      <c r="I46" t="s">
        <v>45</v>
      </c>
      <c r="J46">
        <v>27</v>
      </c>
      <c r="K46">
        <f>Table1[[#This Row],[Satış Miktarı]]*Table1[[#This Row],[Satış Fiyatı]]</f>
        <v>106191</v>
      </c>
      <c r="L46" t="s">
        <v>19</v>
      </c>
      <c r="M46" t="s">
        <v>64</v>
      </c>
      <c r="N46" t="s">
        <v>50</v>
      </c>
      <c r="O46">
        <v>0.2</v>
      </c>
      <c r="P46" t="s">
        <v>22</v>
      </c>
      <c r="Q46" t="s">
        <v>72</v>
      </c>
    </row>
    <row r="47" spans="1:17">
      <c r="A47">
        <v>504790159</v>
      </c>
      <c r="B47" t="s">
        <v>67</v>
      </c>
      <c r="C47" t="s">
        <v>17</v>
      </c>
      <c r="D47" s="1">
        <v>48532</v>
      </c>
      <c r="E47">
        <v>4394</v>
      </c>
      <c r="F47">
        <v>45</v>
      </c>
      <c r="G47" s="2">
        <v>1.0200000000000001E-2</v>
      </c>
      <c r="H47" s="2">
        <f>Table1[[#This Row],[İade Miktarı]]/Table1[[#This Row],[Satış Miktarı]]</f>
        <v>1.0241238051888939E-2</v>
      </c>
      <c r="I47" t="s">
        <v>18</v>
      </c>
      <c r="J47">
        <v>50</v>
      </c>
      <c r="K47">
        <f>Table1[[#This Row],[Satış Miktarı]]*Table1[[#This Row],[Satış Fiyatı]]</f>
        <v>219700</v>
      </c>
      <c r="L47" t="s">
        <v>19</v>
      </c>
      <c r="M47" t="s">
        <v>68</v>
      </c>
      <c r="N47" t="s">
        <v>76</v>
      </c>
      <c r="O47">
        <v>0.2</v>
      </c>
      <c r="P47" t="s">
        <v>22</v>
      </c>
      <c r="Q47" t="s">
        <v>69</v>
      </c>
    </row>
    <row r="48" spans="1:17">
      <c r="A48">
        <v>103920935</v>
      </c>
      <c r="B48" t="s">
        <v>70</v>
      </c>
      <c r="C48" t="s">
        <v>17</v>
      </c>
      <c r="D48" s="1">
        <v>48223</v>
      </c>
      <c r="E48">
        <v>2136</v>
      </c>
      <c r="F48">
        <v>35</v>
      </c>
      <c r="G48" s="2">
        <v>1.6400000000000001E-2</v>
      </c>
      <c r="H48" s="2">
        <f>Table1[[#This Row],[İade Miktarı]]/Table1[[#This Row],[Satış Miktarı]]</f>
        <v>1.6385767790262171E-2</v>
      </c>
      <c r="I48" t="s">
        <v>45</v>
      </c>
      <c r="J48">
        <v>37</v>
      </c>
      <c r="K48">
        <f>Table1[[#This Row],[Satış Miktarı]]*Table1[[#This Row],[Satış Fiyatı]]</f>
        <v>79032</v>
      </c>
      <c r="L48" t="s">
        <v>19</v>
      </c>
      <c r="M48" t="s">
        <v>71</v>
      </c>
      <c r="N48" t="s">
        <v>65</v>
      </c>
      <c r="O48">
        <v>0.2</v>
      </c>
      <c r="P48" t="s">
        <v>22</v>
      </c>
      <c r="Q48" t="s">
        <v>79</v>
      </c>
    </row>
    <row r="49" spans="1:17">
      <c r="A49">
        <v>693007312</v>
      </c>
      <c r="B49" t="s">
        <v>73</v>
      </c>
      <c r="C49" t="s">
        <v>17</v>
      </c>
      <c r="D49" s="1">
        <v>47959</v>
      </c>
      <c r="E49">
        <v>2130</v>
      </c>
      <c r="F49">
        <v>44</v>
      </c>
      <c r="G49" s="2">
        <v>2.07E-2</v>
      </c>
      <c r="H49" s="2">
        <f>Table1[[#This Row],[İade Miktarı]]/Table1[[#This Row],[Satış Miktarı]]</f>
        <v>2.0657276995305163E-2</v>
      </c>
      <c r="I49" t="s">
        <v>18</v>
      </c>
      <c r="J49">
        <v>32</v>
      </c>
      <c r="K49">
        <f>Table1[[#This Row],[Satış Miktarı]]*Table1[[#This Row],[Satış Fiyatı]]</f>
        <v>68160</v>
      </c>
      <c r="L49" t="s">
        <v>19</v>
      </c>
      <c r="M49" t="s">
        <v>74</v>
      </c>
      <c r="N49" t="s">
        <v>78</v>
      </c>
      <c r="O49">
        <v>0.2</v>
      </c>
      <c r="P49" t="s">
        <v>22</v>
      </c>
      <c r="Q49" t="s">
        <v>62</v>
      </c>
    </row>
    <row r="50" spans="1:17">
      <c r="A50">
        <v>323031393</v>
      </c>
      <c r="B50" t="s">
        <v>29</v>
      </c>
      <c r="C50" t="s">
        <v>17</v>
      </c>
      <c r="D50" s="1">
        <v>47793</v>
      </c>
      <c r="E50">
        <v>2432</v>
      </c>
      <c r="F50">
        <v>42</v>
      </c>
      <c r="G50" s="2">
        <v>1.7299999999999999E-2</v>
      </c>
      <c r="H50" s="2">
        <f>Table1[[#This Row],[İade Miktarı]]/Table1[[#This Row],[Satış Miktarı]]</f>
        <v>1.7269736842105265E-2</v>
      </c>
      <c r="I50" t="s">
        <v>18</v>
      </c>
      <c r="J50">
        <v>29</v>
      </c>
      <c r="K50">
        <f>Table1[[#This Row],[Satış Miktarı]]*Table1[[#This Row],[Satış Fiyatı]]</f>
        <v>70528</v>
      </c>
      <c r="L50" t="s">
        <v>19</v>
      </c>
      <c r="M50" t="s">
        <v>20</v>
      </c>
      <c r="N50" t="s">
        <v>31</v>
      </c>
      <c r="O50">
        <v>0.2</v>
      </c>
      <c r="P50" t="s">
        <v>27</v>
      </c>
      <c r="Q50" t="s">
        <v>83</v>
      </c>
    </row>
    <row r="51" spans="1:17">
      <c r="A51">
        <v>562747119</v>
      </c>
      <c r="B51" t="s">
        <v>33</v>
      </c>
      <c r="C51" t="s">
        <v>34</v>
      </c>
      <c r="D51" s="1">
        <v>48491</v>
      </c>
      <c r="E51">
        <v>2241</v>
      </c>
      <c r="F51">
        <v>31</v>
      </c>
      <c r="G51" s="2">
        <v>1.38E-2</v>
      </c>
      <c r="H51" s="2">
        <f>Table1[[#This Row],[İade Miktarı]]/Table1[[#This Row],[Satış Miktarı]]</f>
        <v>1.3833110218652387E-2</v>
      </c>
      <c r="I51" t="s">
        <v>18</v>
      </c>
      <c r="J51">
        <v>44</v>
      </c>
      <c r="K51">
        <f>Table1[[#This Row],[Satış Miktarı]]*Table1[[#This Row],[Satış Fiyatı]]</f>
        <v>98604</v>
      </c>
      <c r="L51" t="s">
        <v>19</v>
      </c>
      <c r="M51" t="s">
        <v>25</v>
      </c>
      <c r="N51" t="s">
        <v>39</v>
      </c>
      <c r="O51">
        <v>0.2</v>
      </c>
      <c r="P51" t="s">
        <v>22</v>
      </c>
      <c r="Q51" t="s">
        <v>28</v>
      </c>
    </row>
    <row r="52" spans="1:17">
      <c r="A52">
        <v>130556097</v>
      </c>
      <c r="B52" t="s">
        <v>37</v>
      </c>
      <c r="C52" t="s">
        <v>34</v>
      </c>
      <c r="D52" s="1">
        <v>48292</v>
      </c>
      <c r="E52">
        <v>2728</v>
      </c>
      <c r="F52">
        <v>50</v>
      </c>
      <c r="G52" s="2">
        <v>1.83E-2</v>
      </c>
      <c r="H52" s="2">
        <f>Table1[[#This Row],[İade Miktarı]]/Table1[[#This Row],[Satış Miktarı]]</f>
        <v>1.8328445747800588E-2</v>
      </c>
      <c r="I52" t="s">
        <v>18</v>
      </c>
      <c r="J52">
        <v>32</v>
      </c>
      <c r="K52">
        <f>Table1[[#This Row],[Satış Miktarı]]*Table1[[#This Row],[Satış Fiyatı]]</f>
        <v>87296</v>
      </c>
      <c r="L52" t="s">
        <v>19</v>
      </c>
      <c r="M52" t="s">
        <v>30</v>
      </c>
      <c r="N52" t="s">
        <v>47</v>
      </c>
      <c r="O52">
        <v>0.2</v>
      </c>
      <c r="P52" t="s">
        <v>27</v>
      </c>
      <c r="Q52" t="s">
        <v>56</v>
      </c>
    </row>
    <row r="53" spans="1:17">
      <c r="A53">
        <v>968380166</v>
      </c>
      <c r="B53" t="s">
        <v>41</v>
      </c>
      <c r="C53" t="s">
        <v>17</v>
      </c>
      <c r="D53" s="1">
        <v>48193</v>
      </c>
      <c r="E53">
        <v>4812</v>
      </c>
      <c r="F53">
        <v>21</v>
      </c>
      <c r="G53" s="2">
        <v>4.4000000000000003E-3</v>
      </c>
      <c r="H53" s="2">
        <f>Table1[[#This Row],[İade Miktarı]]/Table1[[#This Row],[Satış Miktarı]]</f>
        <v>4.3640897755610969E-3</v>
      </c>
      <c r="I53" t="s">
        <v>18</v>
      </c>
      <c r="J53">
        <v>27</v>
      </c>
      <c r="K53">
        <f>Table1[[#This Row],[Satış Miktarı]]*Table1[[#This Row],[Satış Fiyatı]]</f>
        <v>129924</v>
      </c>
      <c r="L53" t="s">
        <v>19</v>
      </c>
      <c r="M53" t="s">
        <v>35</v>
      </c>
      <c r="N53" t="s">
        <v>47</v>
      </c>
      <c r="O53">
        <v>0.2</v>
      </c>
      <c r="P53" t="s">
        <v>22</v>
      </c>
      <c r="Q53" t="s">
        <v>69</v>
      </c>
    </row>
    <row r="54" spans="1:17">
      <c r="A54">
        <v>177088758</v>
      </c>
      <c r="B54" t="s">
        <v>44</v>
      </c>
      <c r="C54" t="s">
        <v>17</v>
      </c>
      <c r="D54" s="1">
        <v>47620</v>
      </c>
      <c r="E54">
        <v>1428</v>
      </c>
      <c r="F54">
        <v>34</v>
      </c>
      <c r="G54" s="2">
        <v>2.3800000000000002E-2</v>
      </c>
      <c r="H54" s="2">
        <f>Table1[[#This Row],[İade Miktarı]]/Table1[[#This Row],[Satış Miktarı]]</f>
        <v>2.3809523809523808E-2</v>
      </c>
      <c r="I54" t="s">
        <v>18</v>
      </c>
      <c r="J54">
        <v>23</v>
      </c>
      <c r="K54">
        <f>Table1[[#This Row],[Satış Miktarı]]*Table1[[#This Row],[Satış Fiyatı]]</f>
        <v>32844</v>
      </c>
      <c r="L54" t="s">
        <v>19</v>
      </c>
      <c r="M54" t="s">
        <v>38</v>
      </c>
      <c r="N54" t="s">
        <v>76</v>
      </c>
      <c r="O54">
        <v>0.2</v>
      </c>
      <c r="P54" t="s">
        <v>22</v>
      </c>
      <c r="Q54" t="s">
        <v>32</v>
      </c>
    </row>
    <row r="55" spans="1:17">
      <c r="A55">
        <v>383293395</v>
      </c>
      <c r="B55" t="s">
        <v>49</v>
      </c>
      <c r="C55" t="s">
        <v>34</v>
      </c>
      <c r="D55" s="1">
        <v>48388</v>
      </c>
      <c r="E55">
        <v>2077</v>
      </c>
      <c r="F55">
        <v>36</v>
      </c>
      <c r="G55" s="2">
        <v>1.7299999999999999E-2</v>
      </c>
      <c r="H55" s="2">
        <f>Table1[[#This Row],[İade Miktarı]]/Table1[[#This Row],[Satış Miktarı]]</f>
        <v>1.7332691381800675E-2</v>
      </c>
      <c r="I55" t="s">
        <v>18</v>
      </c>
      <c r="J55">
        <v>40</v>
      </c>
      <c r="K55">
        <f>Table1[[#This Row],[Satış Miktarı]]*Table1[[#This Row],[Satış Fiyatı]]</f>
        <v>83080</v>
      </c>
      <c r="L55" t="s">
        <v>19</v>
      </c>
      <c r="M55" t="s">
        <v>42</v>
      </c>
      <c r="N55" t="s">
        <v>78</v>
      </c>
      <c r="O55">
        <v>0.2</v>
      </c>
      <c r="P55" t="s">
        <v>27</v>
      </c>
      <c r="Q55" t="s">
        <v>82</v>
      </c>
    </row>
    <row r="56" spans="1:17">
      <c r="A56">
        <v>562839063</v>
      </c>
      <c r="B56" t="s">
        <v>51</v>
      </c>
      <c r="C56" t="s">
        <v>17</v>
      </c>
      <c r="D56" s="1">
        <v>47669</v>
      </c>
      <c r="E56">
        <v>1715</v>
      </c>
      <c r="F56">
        <v>23</v>
      </c>
      <c r="G56" s="2">
        <v>1.34E-2</v>
      </c>
      <c r="H56" s="2">
        <f>Table1[[#This Row],[İade Miktarı]]/Table1[[#This Row],[Satış Miktarı]]</f>
        <v>1.3411078717201166E-2</v>
      </c>
      <c r="I56" t="s">
        <v>18</v>
      </c>
      <c r="J56">
        <v>28</v>
      </c>
      <c r="K56">
        <f>Table1[[#This Row],[Satış Miktarı]]*Table1[[#This Row],[Satış Fiyatı]]</f>
        <v>48020</v>
      </c>
      <c r="L56" t="s">
        <v>19</v>
      </c>
      <c r="M56" t="s">
        <v>46</v>
      </c>
      <c r="N56" t="s">
        <v>61</v>
      </c>
      <c r="O56">
        <v>0.2</v>
      </c>
      <c r="P56" t="s">
        <v>22</v>
      </c>
      <c r="Q56" t="s">
        <v>83</v>
      </c>
    </row>
    <row r="57" spans="1:17">
      <c r="A57">
        <v>476294540</v>
      </c>
      <c r="B57" t="s">
        <v>54</v>
      </c>
      <c r="C57" t="s">
        <v>34</v>
      </c>
      <c r="D57" s="1">
        <v>47595</v>
      </c>
      <c r="E57">
        <v>3762</v>
      </c>
      <c r="F57">
        <v>42</v>
      </c>
      <c r="G57" s="2">
        <v>1.12E-2</v>
      </c>
      <c r="H57" s="2">
        <f>Table1[[#This Row],[İade Miktarı]]/Table1[[#This Row],[Satış Miktarı]]</f>
        <v>1.1164274322169059E-2</v>
      </c>
      <c r="I57" t="s">
        <v>18</v>
      </c>
      <c r="J57">
        <v>24</v>
      </c>
      <c r="K57">
        <f>Table1[[#This Row],[Satış Miktarı]]*Table1[[#This Row],[Satış Fiyatı]]</f>
        <v>90288</v>
      </c>
      <c r="L57" t="s">
        <v>19</v>
      </c>
      <c r="M57" t="s">
        <v>46</v>
      </c>
      <c r="N57" t="s">
        <v>76</v>
      </c>
      <c r="O57">
        <v>0.2</v>
      </c>
      <c r="P57" t="s">
        <v>27</v>
      </c>
      <c r="Q57" t="s">
        <v>48</v>
      </c>
    </row>
    <row r="58" spans="1:17">
      <c r="A58">
        <v>563366580</v>
      </c>
      <c r="B58" t="s">
        <v>57</v>
      </c>
      <c r="C58" t="s">
        <v>34</v>
      </c>
      <c r="D58" s="1">
        <v>48496</v>
      </c>
      <c r="E58">
        <v>1784</v>
      </c>
      <c r="F58">
        <v>38</v>
      </c>
      <c r="G58" s="2">
        <v>2.1299999999999999E-2</v>
      </c>
      <c r="H58" s="2">
        <f>Table1[[#This Row],[İade Miktarı]]/Table1[[#This Row],[Satış Miktarı]]</f>
        <v>2.1300448430493273E-2</v>
      </c>
      <c r="I58" t="s">
        <v>18</v>
      </c>
      <c r="J58">
        <v>33</v>
      </c>
      <c r="K58">
        <f>Table1[[#This Row],[Satış Miktarı]]*Table1[[#This Row],[Satış Fiyatı]]</f>
        <v>58872</v>
      </c>
      <c r="L58" t="s">
        <v>19</v>
      </c>
      <c r="M58" t="s">
        <v>52</v>
      </c>
      <c r="N58" t="s">
        <v>65</v>
      </c>
      <c r="O58">
        <v>0.2</v>
      </c>
      <c r="P58" t="s">
        <v>22</v>
      </c>
      <c r="Q58" t="s">
        <v>48</v>
      </c>
    </row>
    <row r="59" spans="1:17">
      <c r="A59">
        <v>844285958</v>
      </c>
      <c r="B59" t="s">
        <v>59</v>
      </c>
      <c r="C59" t="s">
        <v>17</v>
      </c>
      <c r="D59" s="1">
        <v>48431</v>
      </c>
      <c r="E59">
        <v>1399</v>
      </c>
      <c r="F59">
        <v>40</v>
      </c>
      <c r="G59" s="2">
        <v>2.86E-2</v>
      </c>
      <c r="H59" s="2">
        <f>Table1[[#This Row],[İade Miktarı]]/Table1[[#This Row],[Satış Miktarı]]</f>
        <v>2.8591851322373123E-2</v>
      </c>
      <c r="I59" t="s">
        <v>18</v>
      </c>
      <c r="J59">
        <v>43</v>
      </c>
      <c r="K59">
        <f>Table1[[#This Row],[Satış Miktarı]]*Table1[[#This Row],[Satış Fiyatı]]</f>
        <v>60157</v>
      </c>
      <c r="L59" t="s">
        <v>19</v>
      </c>
      <c r="M59" t="s">
        <v>55</v>
      </c>
      <c r="N59" t="s">
        <v>39</v>
      </c>
      <c r="O59">
        <v>0.2</v>
      </c>
      <c r="P59" t="s">
        <v>27</v>
      </c>
      <c r="Q59" t="s">
        <v>75</v>
      </c>
    </row>
    <row r="60" spans="1:17">
      <c r="A60">
        <v>952664542</v>
      </c>
      <c r="B60" t="s">
        <v>63</v>
      </c>
      <c r="C60" t="s">
        <v>17</v>
      </c>
      <c r="D60" s="1">
        <v>48412</v>
      </c>
      <c r="E60">
        <v>4928</v>
      </c>
      <c r="F60">
        <v>33</v>
      </c>
      <c r="G60" s="2">
        <v>6.7000000000000002E-3</v>
      </c>
      <c r="H60" s="2">
        <f>Table1[[#This Row],[İade Miktarı]]/Table1[[#This Row],[Satış Miktarı]]</f>
        <v>6.6964285714285711E-3</v>
      </c>
      <c r="I60" t="s">
        <v>18</v>
      </c>
      <c r="J60">
        <v>49</v>
      </c>
      <c r="K60">
        <f>Table1[[#This Row],[Satış Miktarı]]*Table1[[#This Row],[Satış Fiyatı]]</f>
        <v>241472</v>
      </c>
      <c r="L60" t="s">
        <v>19</v>
      </c>
      <c r="M60" t="s">
        <v>58</v>
      </c>
      <c r="N60" t="s">
        <v>39</v>
      </c>
      <c r="O60">
        <v>0.2</v>
      </c>
      <c r="P60" t="s">
        <v>22</v>
      </c>
      <c r="Q60" t="s">
        <v>84</v>
      </c>
    </row>
    <row r="61" spans="1:17">
      <c r="A61">
        <v>723294546</v>
      </c>
      <c r="B61" t="s">
        <v>67</v>
      </c>
      <c r="C61" t="s">
        <v>17</v>
      </c>
      <c r="D61" s="1">
        <v>48051</v>
      </c>
      <c r="E61">
        <v>3819</v>
      </c>
      <c r="F61">
        <v>11</v>
      </c>
      <c r="G61" s="2">
        <v>2.8999999999999998E-3</v>
      </c>
      <c r="H61" s="2">
        <f>Table1[[#This Row],[İade Miktarı]]/Table1[[#This Row],[Satış Miktarı]]</f>
        <v>2.8803351662738939E-3</v>
      </c>
      <c r="I61" t="s">
        <v>18</v>
      </c>
      <c r="J61">
        <v>28</v>
      </c>
      <c r="K61">
        <f>Table1[[#This Row],[Satış Miktarı]]*Table1[[#This Row],[Satış Fiyatı]]</f>
        <v>106932</v>
      </c>
      <c r="L61" t="s">
        <v>19</v>
      </c>
      <c r="M61" t="s">
        <v>60</v>
      </c>
      <c r="N61" t="s">
        <v>76</v>
      </c>
      <c r="O61">
        <v>0.2</v>
      </c>
      <c r="P61" t="s">
        <v>27</v>
      </c>
      <c r="Q61" t="s">
        <v>72</v>
      </c>
    </row>
    <row r="62" spans="1:17">
      <c r="A62">
        <v>719915464</v>
      </c>
      <c r="B62" t="s">
        <v>70</v>
      </c>
      <c r="C62" t="s">
        <v>17</v>
      </c>
      <c r="D62" s="1">
        <v>48034</v>
      </c>
      <c r="E62">
        <v>4948</v>
      </c>
      <c r="F62">
        <v>28</v>
      </c>
      <c r="G62" s="2">
        <v>5.7000000000000002E-3</v>
      </c>
      <c r="H62" s="2">
        <f>Table1[[#This Row],[İade Miktarı]]/Table1[[#This Row],[Satış Miktarı]]</f>
        <v>5.6588520614389648E-3</v>
      </c>
      <c r="I62" t="s">
        <v>18</v>
      </c>
      <c r="J62">
        <v>42</v>
      </c>
      <c r="K62">
        <f>Table1[[#This Row],[Satış Miktarı]]*Table1[[#This Row],[Satış Fiyatı]]</f>
        <v>207816</v>
      </c>
      <c r="L62" t="s">
        <v>19</v>
      </c>
      <c r="M62" t="s">
        <v>64</v>
      </c>
      <c r="N62" t="s">
        <v>65</v>
      </c>
      <c r="O62">
        <v>0.2</v>
      </c>
      <c r="P62" t="s">
        <v>27</v>
      </c>
      <c r="Q62" t="s">
        <v>36</v>
      </c>
    </row>
    <row r="63" spans="1:17">
      <c r="A63">
        <v>566572131</v>
      </c>
      <c r="B63" t="s">
        <v>73</v>
      </c>
      <c r="C63" t="s">
        <v>17</v>
      </c>
      <c r="D63" s="1">
        <v>48108</v>
      </c>
      <c r="E63">
        <v>4329</v>
      </c>
      <c r="F63">
        <v>44</v>
      </c>
      <c r="G63" s="2">
        <v>1.0200000000000001E-2</v>
      </c>
      <c r="H63" s="2">
        <f>Table1[[#This Row],[İade Miktarı]]/Table1[[#This Row],[Satış Miktarı]]</f>
        <v>1.0164010164010164E-2</v>
      </c>
      <c r="I63" t="s">
        <v>18</v>
      </c>
      <c r="J63">
        <v>27</v>
      </c>
      <c r="K63">
        <f>Table1[[#This Row],[Satış Miktarı]]*Table1[[#This Row],[Satış Fiyatı]]</f>
        <v>116883</v>
      </c>
      <c r="L63" t="s">
        <v>19</v>
      </c>
      <c r="M63" t="s">
        <v>68</v>
      </c>
      <c r="N63" t="s">
        <v>21</v>
      </c>
      <c r="O63">
        <v>0.2</v>
      </c>
      <c r="P63" t="s">
        <v>27</v>
      </c>
      <c r="Q63" t="s">
        <v>32</v>
      </c>
    </row>
    <row r="64" spans="1:17">
      <c r="A64">
        <v>467597559</v>
      </c>
      <c r="B64" t="s">
        <v>16</v>
      </c>
      <c r="C64" t="s">
        <v>17</v>
      </c>
      <c r="D64" s="1">
        <v>48101</v>
      </c>
      <c r="E64">
        <v>4094</v>
      </c>
      <c r="F64">
        <v>10</v>
      </c>
      <c r="G64" s="2">
        <v>2.3999999999999998E-3</v>
      </c>
      <c r="H64" s="2">
        <f>Table1[[#This Row],[İade Miktarı]]/Table1[[#This Row],[Satış Miktarı]]</f>
        <v>2.4425989252564728E-3</v>
      </c>
      <c r="I64" t="s">
        <v>18</v>
      </c>
      <c r="J64">
        <v>29</v>
      </c>
      <c r="K64">
        <f>Table1[[#This Row],[Satış Miktarı]]*Table1[[#This Row],[Satış Fiyatı]]</f>
        <v>118726</v>
      </c>
      <c r="L64" t="s">
        <v>19</v>
      </c>
      <c r="M64" t="s">
        <v>71</v>
      </c>
      <c r="N64" t="s">
        <v>65</v>
      </c>
      <c r="O64">
        <v>0.2</v>
      </c>
      <c r="P64" t="s">
        <v>22</v>
      </c>
      <c r="Q64" t="s">
        <v>56</v>
      </c>
    </row>
    <row r="65" spans="1:17">
      <c r="A65">
        <v>952054979</v>
      </c>
      <c r="B65" t="s">
        <v>24</v>
      </c>
      <c r="C65" t="s">
        <v>17</v>
      </c>
      <c r="D65" s="1">
        <v>48064</v>
      </c>
      <c r="E65">
        <v>4744</v>
      </c>
      <c r="F65">
        <v>11</v>
      </c>
      <c r="G65" s="2">
        <v>2.3E-3</v>
      </c>
      <c r="H65" s="2">
        <f>Table1[[#This Row],[İade Miktarı]]/Table1[[#This Row],[Satış Miktarı]]</f>
        <v>2.3187183811129849E-3</v>
      </c>
      <c r="I65" t="s">
        <v>18</v>
      </c>
      <c r="J65">
        <v>48</v>
      </c>
      <c r="K65">
        <f>Table1[[#This Row],[Satış Miktarı]]*Table1[[#This Row],[Satış Fiyatı]]</f>
        <v>227712</v>
      </c>
      <c r="L65" t="s">
        <v>19</v>
      </c>
      <c r="M65" t="s">
        <v>74</v>
      </c>
      <c r="N65" t="s">
        <v>78</v>
      </c>
      <c r="O65">
        <v>0.2</v>
      </c>
      <c r="P65" t="s">
        <v>22</v>
      </c>
      <c r="Q65" t="s">
        <v>23</v>
      </c>
    </row>
    <row r="66" spans="1:17">
      <c r="A66">
        <v>362021707</v>
      </c>
      <c r="B66" t="s">
        <v>29</v>
      </c>
      <c r="C66" t="s">
        <v>17</v>
      </c>
      <c r="D66" s="1">
        <v>47979</v>
      </c>
      <c r="E66">
        <v>3718</v>
      </c>
      <c r="F66">
        <v>50</v>
      </c>
      <c r="G66" s="2">
        <v>1.34E-2</v>
      </c>
      <c r="H66" s="2">
        <f>Table1[[#This Row],[İade Miktarı]]/Table1[[#This Row],[Satış Miktarı]]</f>
        <v>1.3448090371167294E-2</v>
      </c>
      <c r="I66" t="s">
        <v>18</v>
      </c>
      <c r="J66">
        <v>22</v>
      </c>
      <c r="K66">
        <f>Table1[[#This Row],[Satış Miktarı]]*Table1[[#This Row],[Satış Fiyatı]]</f>
        <v>81796</v>
      </c>
      <c r="L66" t="s">
        <v>19</v>
      </c>
      <c r="M66" t="s">
        <v>20</v>
      </c>
      <c r="N66" t="s">
        <v>31</v>
      </c>
      <c r="O66">
        <v>0.2</v>
      </c>
      <c r="P66" t="s">
        <v>22</v>
      </c>
      <c r="Q66" t="s">
        <v>48</v>
      </c>
    </row>
    <row r="67" spans="1:17">
      <c r="A67">
        <v>511326224</v>
      </c>
      <c r="B67" t="s">
        <v>33</v>
      </c>
      <c r="C67" t="s">
        <v>34</v>
      </c>
      <c r="D67" s="1">
        <v>48207</v>
      </c>
      <c r="E67">
        <v>1094</v>
      </c>
      <c r="F67">
        <v>44</v>
      </c>
      <c r="G67" s="2">
        <v>4.02E-2</v>
      </c>
      <c r="H67" s="2">
        <f>Table1[[#This Row],[İade Miktarı]]/Table1[[#This Row],[Satış Miktarı]]</f>
        <v>4.0219378427787937E-2</v>
      </c>
      <c r="I67" t="s">
        <v>18</v>
      </c>
      <c r="J67">
        <v>37</v>
      </c>
      <c r="K67">
        <f>Table1[[#This Row],[Satış Miktarı]]*Table1[[#This Row],[Satış Fiyatı]]</f>
        <v>40478</v>
      </c>
      <c r="L67" t="s">
        <v>19</v>
      </c>
      <c r="M67" t="s">
        <v>25</v>
      </c>
      <c r="N67" t="s">
        <v>65</v>
      </c>
      <c r="O67">
        <v>0.2</v>
      </c>
      <c r="P67" t="s">
        <v>22</v>
      </c>
      <c r="Q67" t="s">
        <v>82</v>
      </c>
    </row>
    <row r="68" spans="1:17">
      <c r="A68">
        <v>643217276</v>
      </c>
      <c r="B68" t="s">
        <v>37</v>
      </c>
      <c r="C68" t="s">
        <v>34</v>
      </c>
      <c r="D68" s="1">
        <v>48543</v>
      </c>
      <c r="E68">
        <v>2697</v>
      </c>
      <c r="F68">
        <v>39</v>
      </c>
      <c r="G68" s="2">
        <v>1.4500000000000001E-2</v>
      </c>
      <c r="H68" s="2">
        <f>Table1[[#This Row],[İade Miktarı]]/Table1[[#This Row],[Satış Miktarı]]</f>
        <v>1.4460511679644048E-2</v>
      </c>
      <c r="I68" t="s">
        <v>18</v>
      </c>
      <c r="J68">
        <v>26</v>
      </c>
      <c r="K68">
        <f>Table1[[#This Row],[Satış Miktarı]]*Table1[[#This Row],[Satış Fiyatı]]</f>
        <v>70122</v>
      </c>
      <c r="L68" t="s">
        <v>19</v>
      </c>
      <c r="M68" t="s">
        <v>30</v>
      </c>
      <c r="N68" t="s">
        <v>26</v>
      </c>
      <c r="O68">
        <v>0.2</v>
      </c>
      <c r="P68" t="s">
        <v>27</v>
      </c>
      <c r="Q68" t="s">
        <v>69</v>
      </c>
    </row>
    <row r="69" spans="1:17">
      <c r="A69">
        <v>843094642</v>
      </c>
      <c r="B69" t="s">
        <v>41</v>
      </c>
      <c r="C69" t="s">
        <v>17</v>
      </c>
      <c r="D69" s="1">
        <v>48448</v>
      </c>
      <c r="E69">
        <v>2337</v>
      </c>
      <c r="F69">
        <v>33</v>
      </c>
      <c r="G69" s="2">
        <v>1.41E-2</v>
      </c>
      <c r="H69" s="2">
        <f>Table1[[#This Row],[İade Miktarı]]/Table1[[#This Row],[Satış Miktarı]]</f>
        <v>1.4120667522464698E-2</v>
      </c>
      <c r="I69" t="s">
        <v>18</v>
      </c>
      <c r="J69">
        <v>34</v>
      </c>
      <c r="K69">
        <f>Table1[[#This Row],[Satış Miktarı]]*Table1[[#This Row],[Satış Fiyatı]]</f>
        <v>79458</v>
      </c>
      <c r="L69" t="s">
        <v>19</v>
      </c>
      <c r="M69" t="s">
        <v>35</v>
      </c>
      <c r="N69" t="s">
        <v>21</v>
      </c>
      <c r="O69">
        <v>0.2</v>
      </c>
      <c r="P69" t="s">
        <v>22</v>
      </c>
      <c r="Q69" t="s">
        <v>82</v>
      </c>
    </row>
    <row r="70" spans="1:17">
      <c r="A70">
        <v>341844679</v>
      </c>
      <c r="B70" t="s">
        <v>44</v>
      </c>
      <c r="C70" t="s">
        <v>17</v>
      </c>
      <c r="D70" s="1">
        <v>47562</v>
      </c>
      <c r="E70">
        <v>2859</v>
      </c>
      <c r="F70">
        <v>40</v>
      </c>
      <c r="G70" s="2">
        <v>1.4E-2</v>
      </c>
      <c r="H70" s="2">
        <f>Table1[[#This Row],[İade Miktarı]]/Table1[[#This Row],[Satış Miktarı]]</f>
        <v>1.3990905911157748E-2</v>
      </c>
      <c r="I70" t="s">
        <v>18</v>
      </c>
      <c r="J70">
        <v>36</v>
      </c>
      <c r="K70">
        <f>Table1[[#This Row],[Satış Miktarı]]*Table1[[#This Row],[Satış Fiyatı]]</f>
        <v>102924</v>
      </c>
      <c r="L70" t="s">
        <v>19</v>
      </c>
      <c r="M70" t="s">
        <v>38</v>
      </c>
      <c r="N70" t="s">
        <v>61</v>
      </c>
      <c r="O70">
        <v>0.2</v>
      </c>
      <c r="P70" t="s">
        <v>22</v>
      </c>
      <c r="Q70" t="s">
        <v>62</v>
      </c>
    </row>
    <row r="71" spans="1:17">
      <c r="A71">
        <v>599736618</v>
      </c>
      <c r="B71" t="s">
        <v>49</v>
      </c>
      <c r="C71" t="s">
        <v>34</v>
      </c>
      <c r="D71" s="1">
        <v>47811</v>
      </c>
      <c r="E71">
        <v>4009</v>
      </c>
      <c r="F71">
        <v>41</v>
      </c>
      <c r="G71" s="2">
        <v>1.0200000000000001E-2</v>
      </c>
      <c r="H71" s="2">
        <f>Table1[[#This Row],[İade Miktarı]]/Table1[[#This Row],[Satış Miktarı]]</f>
        <v>1.0226989274133201E-2</v>
      </c>
      <c r="I71" t="s">
        <v>18</v>
      </c>
      <c r="J71">
        <v>29</v>
      </c>
      <c r="K71">
        <f>Table1[[#This Row],[Satış Miktarı]]*Table1[[#This Row],[Satış Fiyatı]]</f>
        <v>116261</v>
      </c>
      <c r="L71" t="s">
        <v>19</v>
      </c>
      <c r="M71" t="s">
        <v>42</v>
      </c>
      <c r="N71" t="s">
        <v>50</v>
      </c>
      <c r="O71">
        <v>0.2</v>
      </c>
      <c r="P71" t="s">
        <v>22</v>
      </c>
      <c r="Q71" t="s">
        <v>48</v>
      </c>
    </row>
    <row r="72" spans="1:17">
      <c r="A72">
        <v>506299926</v>
      </c>
      <c r="B72" t="s">
        <v>51</v>
      </c>
      <c r="C72" t="s">
        <v>17</v>
      </c>
      <c r="D72" s="1">
        <v>47911</v>
      </c>
      <c r="E72">
        <v>3912</v>
      </c>
      <c r="F72">
        <v>25</v>
      </c>
      <c r="G72" s="2">
        <v>6.4000000000000003E-3</v>
      </c>
      <c r="H72" s="2">
        <f>Table1[[#This Row],[İade Miktarı]]/Table1[[#This Row],[Satış Miktarı]]</f>
        <v>6.3905930470347649E-3</v>
      </c>
      <c r="I72" t="s">
        <v>18</v>
      </c>
      <c r="J72">
        <v>23</v>
      </c>
      <c r="K72">
        <f>Table1[[#This Row],[Satış Miktarı]]*Table1[[#This Row],[Satış Fiyatı]]</f>
        <v>89976</v>
      </c>
      <c r="L72" t="s">
        <v>19</v>
      </c>
      <c r="M72" t="s">
        <v>46</v>
      </c>
      <c r="N72" t="s">
        <v>47</v>
      </c>
      <c r="O72">
        <v>0.2</v>
      </c>
      <c r="P72" t="s">
        <v>27</v>
      </c>
      <c r="Q72" t="s">
        <v>62</v>
      </c>
    </row>
    <row r="73" spans="1:17">
      <c r="A73">
        <v>558759770</v>
      </c>
      <c r="B73" t="s">
        <v>54</v>
      </c>
      <c r="C73" t="s">
        <v>34</v>
      </c>
      <c r="D73" s="1">
        <v>48036</v>
      </c>
      <c r="E73">
        <v>3090</v>
      </c>
      <c r="F73">
        <v>20</v>
      </c>
      <c r="G73" s="2">
        <v>6.4999999999999997E-3</v>
      </c>
      <c r="H73" s="2">
        <f>Table1[[#This Row],[İade Miktarı]]/Table1[[#This Row],[Satış Miktarı]]</f>
        <v>6.4724919093851136E-3</v>
      </c>
      <c r="I73" t="s">
        <v>18</v>
      </c>
      <c r="J73">
        <v>48</v>
      </c>
      <c r="K73">
        <f>Table1[[#This Row],[Satış Miktarı]]*Table1[[#This Row],[Satış Fiyatı]]</f>
        <v>148320</v>
      </c>
      <c r="L73" t="s">
        <v>19</v>
      </c>
      <c r="M73" t="s">
        <v>46</v>
      </c>
      <c r="N73" t="s">
        <v>43</v>
      </c>
      <c r="O73">
        <v>0.2</v>
      </c>
      <c r="P73" t="s">
        <v>22</v>
      </c>
      <c r="Q73" t="s">
        <v>53</v>
      </c>
    </row>
    <row r="74" spans="1:17">
      <c r="A74">
        <v>1139850</v>
      </c>
      <c r="B74" t="s">
        <v>57</v>
      </c>
      <c r="C74" t="s">
        <v>34</v>
      </c>
      <c r="D74" s="1">
        <v>48155</v>
      </c>
      <c r="E74">
        <v>2107</v>
      </c>
      <c r="F74">
        <v>33</v>
      </c>
      <c r="G74" s="2">
        <v>1.5699999999999999E-2</v>
      </c>
      <c r="H74" s="2">
        <f>Table1[[#This Row],[İade Miktarı]]/Table1[[#This Row],[Satış Miktarı]]</f>
        <v>1.5662078785002372E-2</v>
      </c>
      <c r="I74" t="s">
        <v>18</v>
      </c>
      <c r="J74">
        <v>45</v>
      </c>
      <c r="K74">
        <f>Table1[[#This Row],[Satış Miktarı]]*Table1[[#This Row],[Satış Fiyatı]]</f>
        <v>94815</v>
      </c>
      <c r="L74" t="s">
        <v>19</v>
      </c>
      <c r="M74" t="s">
        <v>52</v>
      </c>
      <c r="N74" t="s">
        <v>21</v>
      </c>
      <c r="O74">
        <v>0.2</v>
      </c>
      <c r="P74" t="s">
        <v>27</v>
      </c>
      <c r="Q74" t="s">
        <v>82</v>
      </c>
    </row>
    <row r="75" spans="1:17">
      <c r="A75">
        <v>219129106</v>
      </c>
      <c r="B75" t="s">
        <v>59</v>
      </c>
      <c r="C75" t="s">
        <v>17</v>
      </c>
      <c r="D75" s="1">
        <v>47752</v>
      </c>
      <c r="E75">
        <v>1384</v>
      </c>
      <c r="F75">
        <v>23</v>
      </c>
      <c r="G75" s="2">
        <v>1.66E-2</v>
      </c>
      <c r="H75" s="2">
        <f>Table1[[#This Row],[İade Miktarı]]/Table1[[#This Row],[Satış Miktarı]]</f>
        <v>1.6618497109826588E-2</v>
      </c>
      <c r="I75" t="s">
        <v>18</v>
      </c>
      <c r="J75">
        <v>32</v>
      </c>
      <c r="K75">
        <f>Table1[[#This Row],[Satış Miktarı]]*Table1[[#This Row],[Satış Fiyatı]]</f>
        <v>44288</v>
      </c>
      <c r="L75" t="s">
        <v>19</v>
      </c>
      <c r="M75" t="s">
        <v>55</v>
      </c>
      <c r="N75" t="s">
        <v>31</v>
      </c>
      <c r="O75">
        <v>0.2</v>
      </c>
      <c r="P75" t="s">
        <v>22</v>
      </c>
      <c r="Q75" t="s">
        <v>66</v>
      </c>
    </row>
    <row r="76" spans="1:17">
      <c r="A76">
        <v>813589020</v>
      </c>
      <c r="B76" t="s">
        <v>63</v>
      </c>
      <c r="C76" t="s">
        <v>17</v>
      </c>
      <c r="D76" s="1">
        <v>48095</v>
      </c>
      <c r="E76">
        <v>4646</v>
      </c>
      <c r="F76">
        <v>32</v>
      </c>
      <c r="G76" s="2">
        <v>6.8999999999999999E-3</v>
      </c>
      <c r="H76" s="2">
        <f>Table1[[#This Row],[İade Miktarı]]/Table1[[#This Row],[Satış Miktarı]]</f>
        <v>6.8876452862677573E-3</v>
      </c>
      <c r="I76" t="s">
        <v>18</v>
      </c>
      <c r="J76">
        <v>32</v>
      </c>
      <c r="K76">
        <f>Table1[[#This Row],[Satış Miktarı]]*Table1[[#This Row],[Satış Fiyatı]]</f>
        <v>148672</v>
      </c>
      <c r="L76" t="s">
        <v>19</v>
      </c>
      <c r="M76" t="s">
        <v>58</v>
      </c>
      <c r="N76" t="s">
        <v>26</v>
      </c>
      <c r="O76">
        <v>0.2</v>
      </c>
      <c r="P76" t="s">
        <v>27</v>
      </c>
      <c r="Q76" t="s">
        <v>23</v>
      </c>
    </row>
    <row r="77" spans="1:17">
      <c r="A77">
        <v>114274814</v>
      </c>
      <c r="B77" t="s">
        <v>67</v>
      </c>
      <c r="C77" t="s">
        <v>17</v>
      </c>
      <c r="D77" s="1">
        <v>48521</v>
      </c>
      <c r="E77">
        <v>1631</v>
      </c>
      <c r="F77">
        <v>29</v>
      </c>
      <c r="G77" s="2">
        <v>1.78E-2</v>
      </c>
      <c r="H77" s="2">
        <f>Table1[[#This Row],[İade Miktarı]]/Table1[[#This Row],[Satış Miktarı]]</f>
        <v>1.7780502759043533E-2</v>
      </c>
      <c r="I77" t="s">
        <v>18</v>
      </c>
      <c r="J77">
        <v>50</v>
      </c>
      <c r="K77">
        <f>Table1[[#This Row],[Satış Miktarı]]*Table1[[#This Row],[Satış Fiyatı]]</f>
        <v>81550</v>
      </c>
      <c r="L77" t="s">
        <v>19</v>
      </c>
      <c r="M77" t="s">
        <v>60</v>
      </c>
      <c r="N77" t="s">
        <v>78</v>
      </c>
      <c r="O77">
        <v>0.2</v>
      </c>
      <c r="P77" t="s">
        <v>22</v>
      </c>
      <c r="Q77" t="s">
        <v>77</v>
      </c>
    </row>
    <row r="78" spans="1:17">
      <c r="A78">
        <v>544757938</v>
      </c>
      <c r="B78" t="s">
        <v>70</v>
      </c>
      <c r="C78" t="s">
        <v>17</v>
      </c>
      <c r="D78" s="1">
        <v>47913</v>
      </c>
      <c r="E78">
        <v>1033</v>
      </c>
      <c r="F78">
        <v>26</v>
      </c>
      <c r="G78" s="2">
        <v>2.52E-2</v>
      </c>
      <c r="H78" s="2">
        <f>Table1[[#This Row],[İade Miktarı]]/Table1[[#This Row],[Satış Miktarı]]</f>
        <v>2.516940948693127E-2</v>
      </c>
      <c r="I78" t="s">
        <v>18</v>
      </c>
      <c r="J78">
        <v>29</v>
      </c>
      <c r="K78">
        <f>Table1[[#This Row],[Satış Miktarı]]*Table1[[#This Row],[Satış Fiyatı]]</f>
        <v>29957</v>
      </c>
      <c r="L78" t="s">
        <v>19</v>
      </c>
      <c r="M78" t="s">
        <v>64</v>
      </c>
      <c r="N78" t="s">
        <v>65</v>
      </c>
      <c r="O78">
        <v>0.2</v>
      </c>
      <c r="P78" t="s">
        <v>22</v>
      </c>
      <c r="Q78" t="s">
        <v>69</v>
      </c>
    </row>
    <row r="79" spans="1:17">
      <c r="A79">
        <v>894772978</v>
      </c>
      <c r="B79" t="s">
        <v>73</v>
      </c>
      <c r="C79" t="s">
        <v>17</v>
      </c>
      <c r="D79" s="1">
        <v>48313</v>
      </c>
      <c r="E79">
        <v>4585</v>
      </c>
      <c r="F79">
        <v>33</v>
      </c>
      <c r="G79" s="2">
        <v>7.1999999999999998E-3</v>
      </c>
      <c r="H79" s="2">
        <f>Table1[[#This Row],[İade Miktarı]]/Table1[[#This Row],[Satış Miktarı]]</f>
        <v>7.1973827699018536E-3</v>
      </c>
      <c r="I79" t="s">
        <v>18</v>
      </c>
      <c r="J79">
        <v>20</v>
      </c>
      <c r="K79">
        <f>Table1[[#This Row],[Satış Miktarı]]*Table1[[#This Row],[Satış Fiyatı]]</f>
        <v>91700</v>
      </c>
      <c r="L79" t="s">
        <v>19</v>
      </c>
      <c r="M79" t="s">
        <v>68</v>
      </c>
      <c r="N79" t="s">
        <v>21</v>
      </c>
      <c r="O79">
        <v>0.2</v>
      </c>
      <c r="P79" t="s">
        <v>27</v>
      </c>
      <c r="Q79" t="s">
        <v>72</v>
      </c>
    </row>
    <row r="80" spans="1:17">
      <c r="A80">
        <v>186781810</v>
      </c>
      <c r="B80" t="s">
        <v>16</v>
      </c>
      <c r="C80" t="s">
        <v>17</v>
      </c>
      <c r="D80" s="1">
        <v>48197</v>
      </c>
      <c r="E80">
        <v>2329</v>
      </c>
      <c r="F80">
        <v>26</v>
      </c>
      <c r="G80" s="2">
        <v>1.12E-2</v>
      </c>
      <c r="H80" s="2">
        <f>Table1[[#This Row],[İade Miktarı]]/Table1[[#This Row],[Satış Miktarı]]</f>
        <v>1.11635895234006E-2</v>
      </c>
      <c r="I80" t="s">
        <v>18</v>
      </c>
      <c r="J80">
        <v>20</v>
      </c>
      <c r="K80">
        <f>Table1[[#This Row],[Satış Miktarı]]*Table1[[#This Row],[Satış Fiyatı]]</f>
        <v>46580</v>
      </c>
      <c r="L80" t="s">
        <v>19</v>
      </c>
      <c r="M80" t="s">
        <v>71</v>
      </c>
      <c r="N80" t="s">
        <v>21</v>
      </c>
      <c r="O80">
        <v>0.2</v>
      </c>
      <c r="P80" t="s">
        <v>27</v>
      </c>
      <c r="Q80" t="s">
        <v>72</v>
      </c>
    </row>
    <row r="81" spans="1:17">
      <c r="A81">
        <v>757217956</v>
      </c>
      <c r="B81" t="s">
        <v>24</v>
      </c>
      <c r="C81" t="s">
        <v>17</v>
      </c>
      <c r="D81" s="1">
        <v>47596</v>
      </c>
      <c r="E81">
        <v>2926</v>
      </c>
      <c r="F81">
        <v>24</v>
      </c>
      <c r="G81" s="2">
        <v>8.2000000000000007E-3</v>
      </c>
      <c r="H81" s="2">
        <f>Table1[[#This Row],[İade Miktarı]]/Table1[[#This Row],[Satış Miktarı]]</f>
        <v>8.2023239917976762E-3</v>
      </c>
      <c r="I81" t="s">
        <v>18</v>
      </c>
      <c r="J81">
        <v>40</v>
      </c>
      <c r="K81">
        <f>Table1[[#This Row],[Satış Miktarı]]*Table1[[#This Row],[Satış Fiyatı]]</f>
        <v>117040</v>
      </c>
      <c r="L81" t="s">
        <v>19</v>
      </c>
      <c r="M81" t="s">
        <v>74</v>
      </c>
      <c r="N81" t="s">
        <v>78</v>
      </c>
      <c r="O81">
        <v>0.2</v>
      </c>
      <c r="P81" t="s">
        <v>22</v>
      </c>
      <c r="Q81" t="s">
        <v>28</v>
      </c>
    </row>
    <row r="82" spans="1:17">
      <c r="A82">
        <v>417388868</v>
      </c>
      <c r="B82" t="s">
        <v>29</v>
      </c>
      <c r="C82" t="s">
        <v>17</v>
      </c>
      <c r="D82" s="1">
        <v>48466</v>
      </c>
      <c r="E82">
        <v>3450</v>
      </c>
      <c r="F82">
        <v>48</v>
      </c>
      <c r="G82" s="2">
        <v>1.3899999999999999E-2</v>
      </c>
      <c r="H82" s="2">
        <f>Table1[[#This Row],[İade Miktarı]]/Table1[[#This Row],[Satış Miktarı]]</f>
        <v>1.391304347826087E-2</v>
      </c>
      <c r="I82" t="s">
        <v>18</v>
      </c>
      <c r="J82">
        <v>32</v>
      </c>
      <c r="K82">
        <f>Table1[[#This Row],[Satış Miktarı]]*Table1[[#This Row],[Satış Fiyatı]]</f>
        <v>110400</v>
      </c>
      <c r="L82" t="s">
        <v>19</v>
      </c>
      <c r="M82" t="s">
        <v>20</v>
      </c>
      <c r="N82" t="s">
        <v>26</v>
      </c>
      <c r="O82">
        <v>0.2</v>
      </c>
      <c r="P82" t="s">
        <v>22</v>
      </c>
      <c r="Q82" t="s">
        <v>66</v>
      </c>
    </row>
    <row r="83" spans="1:17">
      <c r="A83">
        <v>2962900</v>
      </c>
      <c r="B83" t="s">
        <v>33</v>
      </c>
      <c r="C83" t="s">
        <v>34</v>
      </c>
      <c r="D83" s="1">
        <v>48467</v>
      </c>
      <c r="E83">
        <v>4205</v>
      </c>
      <c r="F83">
        <v>11</v>
      </c>
      <c r="G83" s="2">
        <v>2.5999999999999999E-3</v>
      </c>
      <c r="H83" s="2">
        <f>Table1[[#This Row],[İade Miktarı]]/Table1[[#This Row],[Satış Miktarı]]</f>
        <v>2.6159334126040429E-3</v>
      </c>
      <c r="I83" t="s">
        <v>18</v>
      </c>
      <c r="J83">
        <v>25</v>
      </c>
      <c r="K83">
        <f>Table1[[#This Row],[Satış Miktarı]]*Table1[[#This Row],[Satış Fiyatı]]</f>
        <v>105125</v>
      </c>
      <c r="L83" t="s">
        <v>19</v>
      </c>
      <c r="M83" t="s">
        <v>25</v>
      </c>
      <c r="N83" t="s">
        <v>50</v>
      </c>
      <c r="O83">
        <v>0.2</v>
      </c>
      <c r="P83" t="s">
        <v>27</v>
      </c>
      <c r="Q83" t="s">
        <v>28</v>
      </c>
    </row>
    <row r="84" spans="1:17">
      <c r="A84">
        <v>492280716</v>
      </c>
      <c r="B84" t="s">
        <v>37</v>
      </c>
      <c r="C84" t="s">
        <v>34</v>
      </c>
      <c r="D84" s="1">
        <v>47542</v>
      </c>
      <c r="E84">
        <v>4368</v>
      </c>
      <c r="F84">
        <v>21</v>
      </c>
      <c r="G84" s="2">
        <v>4.7999999999999996E-3</v>
      </c>
      <c r="H84" s="2">
        <f>Table1[[#This Row],[İade Miktarı]]/Table1[[#This Row],[Satış Miktarı]]</f>
        <v>4.807692307692308E-3</v>
      </c>
      <c r="I84" t="s">
        <v>18</v>
      </c>
      <c r="J84">
        <v>30</v>
      </c>
      <c r="K84">
        <f>Table1[[#This Row],[Satış Miktarı]]*Table1[[#This Row],[Satış Fiyatı]]</f>
        <v>131040</v>
      </c>
      <c r="L84" t="s">
        <v>19</v>
      </c>
      <c r="M84" t="s">
        <v>30</v>
      </c>
      <c r="N84" t="s">
        <v>65</v>
      </c>
      <c r="O84">
        <v>0.2</v>
      </c>
      <c r="P84" t="s">
        <v>27</v>
      </c>
      <c r="Q84" t="s">
        <v>83</v>
      </c>
    </row>
    <row r="85" spans="1:17">
      <c r="A85">
        <v>38426657</v>
      </c>
      <c r="B85" t="s">
        <v>41</v>
      </c>
      <c r="C85" t="s">
        <v>17</v>
      </c>
      <c r="D85" s="1">
        <v>48030</v>
      </c>
      <c r="E85">
        <v>4457</v>
      </c>
      <c r="F85">
        <v>43</v>
      </c>
      <c r="G85" s="2">
        <v>9.5999999999999992E-3</v>
      </c>
      <c r="H85" s="2">
        <f>Table1[[#This Row],[İade Miktarı]]/Table1[[#This Row],[Satış Miktarı]]</f>
        <v>9.6477451200358989E-3</v>
      </c>
      <c r="I85" t="s">
        <v>18</v>
      </c>
      <c r="J85">
        <v>30</v>
      </c>
      <c r="K85">
        <f>Table1[[#This Row],[Satış Miktarı]]*Table1[[#This Row],[Satış Fiyatı]]</f>
        <v>133710</v>
      </c>
      <c r="L85" t="s">
        <v>19</v>
      </c>
      <c r="M85" t="s">
        <v>35</v>
      </c>
      <c r="N85" t="s">
        <v>21</v>
      </c>
      <c r="O85">
        <v>0.2</v>
      </c>
      <c r="P85" t="s">
        <v>22</v>
      </c>
      <c r="Q85" t="s">
        <v>69</v>
      </c>
    </row>
    <row r="86" spans="1:17">
      <c r="A86">
        <v>303867884</v>
      </c>
      <c r="B86" t="s">
        <v>44</v>
      </c>
      <c r="C86" t="s">
        <v>17</v>
      </c>
      <c r="D86" s="1">
        <v>48411</v>
      </c>
      <c r="E86">
        <v>1397</v>
      </c>
      <c r="F86">
        <v>45</v>
      </c>
      <c r="G86" s="2">
        <v>3.2199999999999999E-2</v>
      </c>
      <c r="H86" s="2">
        <f>Table1[[#This Row],[İade Miktarı]]/Table1[[#This Row],[Satış Miktarı]]</f>
        <v>3.2211882605583393E-2</v>
      </c>
      <c r="I86" t="s">
        <v>18</v>
      </c>
      <c r="J86">
        <v>25</v>
      </c>
      <c r="K86">
        <f>Table1[[#This Row],[Satış Miktarı]]*Table1[[#This Row],[Satış Fiyatı]]</f>
        <v>34925</v>
      </c>
      <c r="L86" t="s">
        <v>19</v>
      </c>
      <c r="M86" t="s">
        <v>38</v>
      </c>
      <c r="N86" t="s">
        <v>21</v>
      </c>
      <c r="O86">
        <v>0.2</v>
      </c>
      <c r="P86" t="s">
        <v>27</v>
      </c>
      <c r="Q86" t="s">
        <v>62</v>
      </c>
    </row>
    <row r="87" spans="1:17">
      <c r="A87">
        <v>477244504</v>
      </c>
      <c r="B87" t="s">
        <v>49</v>
      </c>
      <c r="C87" t="s">
        <v>34</v>
      </c>
      <c r="D87" s="1">
        <v>48051</v>
      </c>
      <c r="E87">
        <v>1814</v>
      </c>
      <c r="F87">
        <v>23</v>
      </c>
      <c r="G87" s="2">
        <v>1.2699999999999999E-2</v>
      </c>
      <c r="H87" s="2">
        <f>Table1[[#This Row],[İade Miktarı]]/Table1[[#This Row],[Satış Miktarı]]</f>
        <v>1.2679162072767364E-2</v>
      </c>
      <c r="I87" t="s">
        <v>18</v>
      </c>
      <c r="J87">
        <v>22</v>
      </c>
      <c r="K87">
        <f>Table1[[#This Row],[Satış Miktarı]]*Table1[[#This Row],[Satış Fiyatı]]</f>
        <v>39908</v>
      </c>
      <c r="L87" t="s">
        <v>19</v>
      </c>
      <c r="M87" t="s">
        <v>42</v>
      </c>
      <c r="N87" t="s">
        <v>31</v>
      </c>
      <c r="O87">
        <v>0.2</v>
      </c>
      <c r="P87" t="s">
        <v>22</v>
      </c>
      <c r="Q87" t="s">
        <v>62</v>
      </c>
    </row>
    <row r="88" spans="1:17">
      <c r="A88">
        <v>851286247</v>
      </c>
      <c r="B88" t="s">
        <v>51</v>
      </c>
      <c r="C88" t="s">
        <v>17</v>
      </c>
      <c r="D88" s="1">
        <v>47902</v>
      </c>
      <c r="E88">
        <v>1539</v>
      </c>
      <c r="F88">
        <v>30</v>
      </c>
      <c r="G88" s="2">
        <v>1.95E-2</v>
      </c>
      <c r="H88" s="2">
        <f>Table1[[#This Row],[İade Miktarı]]/Table1[[#This Row],[Satış Miktarı]]</f>
        <v>1.9493177387914229E-2</v>
      </c>
      <c r="I88" t="s">
        <v>18</v>
      </c>
      <c r="J88">
        <v>32</v>
      </c>
      <c r="K88">
        <f>Table1[[#This Row],[Satış Miktarı]]*Table1[[#This Row],[Satış Fiyatı]]</f>
        <v>49248</v>
      </c>
      <c r="L88" t="s">
        <v>19</v>
      </c>
      <c r="M88" t="s">
        <v>46</v>
      </c>
      <c r="N88" t="s">
        <v>78</v>
      </c>
      <c r="O88">
        <v>0.2</v>
      </c>
      <c r="P88" t="s">
        <v>22</v>
      </c>
      <c r="Q88" t="s">
        <v>77</v>
      </c>
    </row>
    <row r="89" spans="1:17">
      <c r="A89">
        <v>891725493</v>
      </c>
      <c r="B89" t="s">
        <v>54</v>
      </c>
      <c r="C89" t="s">
        <v>34</v>
      </c>
      <c r="D89" s="1">
        <v>47489</v>
      </c>
      <c r="E89">
        <v>2969</v>
      </c>
      <c r="F89">
        <v>39</v>
      </c>
      <c r="G89" s="2">
        <v>1.3100000000000001E-2</v>
      </c>
      <c r="H89" s="2">
        <f>Table1[[#This Row],[İade Miktarı]]/Table1[[#This Row],[Satış Miktarı]]</f>
        <v>1.3135735938026272E-2</v>
      </c>
      <c r="I89" t="s">
        <v>18</v>
      </c>
      <c r="J89">
        <v>37</v>
      </c>
      <c r="K89">
        <f>Table1[[#This Row],[Satış Miktarı]]*Table1[[#This Row],[Satış Fiyatı]]</f>
        <v>109853</v>
      </c>
      <c r="L89" t="s">
        <v>19</v>
      </c>
      <c r="M89" t="s">
        <v>46</v>
      </c>
      <c r="N89" t="s">
        <v>26</v>
      </c>
      <c r="O89">
        <v>0.2</v>
      </c>
      <c r="P89" t="s">
        <v>27</v>
      </c>
      <c r="Q89" t="s">
        <v>40</v>
      </c>
    </row>
    <row r="90" spans="1:17">
      <c r="A90">
        <v>8705060</v>
      </c>
      <c r="B90" t="s">
        <v>57</v>
      </c>
      <c r="C90" t="s">
        <v>34</v>
      </c>
      <c r="D90" s="1">
        <v>48523</v>
      </c>
      <c r="E90">
        <v>2999</v>
      </c>
      <c r="F90">
        <v>42</v>
      </c>
      <c r="G90" s="2">
        <v>1.4E-2</v>
      </c>
      <c r="H90" s="2">
        <f>Table1[[#This Row],[İade Miktarı]]/Table1[[#This Row],[Satış Miktarı]]</f>
        <v>1.4004668222740914E-2</v>
      </c>
      <c r="I90" t="s">
        <v>18</v>
      </c>
      <c r="J90">
        <v>34</v>
      </c>
      <c r="K90">
        <f>Table1[[#This Row],[Satış Miktarı]]*Table1[[#This Row],[Satış Fiyatı]]</f>
        <v>101966</v>
      </c>
      <c r="L90" t="s">
        <v>19</v>
      </c>
      <c r="M90" t="s">
        <v>52</v>
      </c>
      <c r="N90" t="s">
        <v>39</v>
      </c>
      <c r="O90">
        <v>0.2</v>
      </c>
      <c r="P90" t="s">
        <v>22</v>
      </c>
      <c r="Q90" t="s">
        <v>75</v>
      </c>
    </row>
    <row r="91" spans="1:17">
      <c r="A91">
        <v>818440994</v>
      </c>
      <c r="B91" t="s">
        <v>59</v>
      </c>
      <c r="C91" t="s">
        <v>17</v>
      </c>
      <c r="D91" s="1">
        <v>48141</v>
      </c>
      <c r="E91">
        <v>3507</v>
      </c>
      <c r="F91">
        <v>43</v>
      </c>
      <c r="G91" s="2">
        <v>1.23E-2</v>
      </c>
      <c r="H91" s="2">
        <f>Table1[[#This Row],[İade Miktarı]]/Table1[[#This Row],[Satış Miktarı]]</f>
        <v>1.2261191901910464E-2</v>
      </c>
      <c r="I91" t="s">
        <v>18</v>
      </c>
      <c r="J91">
        <v>29</v>
      </c>
      <c r="K91">
        <f>Table1[[#This Row],[Satış Miktarı]]*Table1[[#This Row],[Satış Fiyatı]]</f>
        <v>101703</v>
      </c>
      <c r="L91" t="s">
        <v>19</v>
      </c>
      <c r="M91" t="s">
        <v>55</v>
      </c>
      <c r="N91" t="s">
        <v>50</v>
      </c>
      <c r="O91">
        <v>0.2</v>
      </c>
      <c r="P91" t="s">
        <v>22</v>
      </c>
      <c r="Q91" t="s">
        <v>36</v>
      </c>
    </row>
    <row r="92" spans="1:17">
      <c r="A92">
        <v>527390654</v>
      </c>
      <c r="B92" t="s">
        <v>63</v>
      </c>
      <c r="C92" t="s">
        <v>17</v>
      </c>
      <c r="D92" s="1">
        <v>47959</v>
      </c>
      <c r="E92">
        <v>4428</v>
      </c>
      <c r="F92">
        <v>39</v>
      </c>
      <c r="G92" s="2">
        <v>8.8000000000000005E-3</v>
      </c>
      <c r="H92" s="2">
        <f>Table1[[#This Row],[İade Miktarı]]/Table1[[#This Row],[Satış Miktarı]]</f>
        <v>8.8075880758807581E-3</v>
      </c>
      <c r="I92" t="s">
        <v>45</v>
      </c>
      <c r="J92">
        <v>37</v>
      </c>
      <c r="K92">
        <f>Table1[[#This Row],[Satış Miktarı]]*Table1[[#This Row],[Satış Fiyatı]]</f>
        <v>163836</v>
      </c>
      <c r="L92" t="s">
        <v>19</v>
      </c>
      <c r="M92" t="s">
        <v>58</v>
      </c>
      <c r="N92" t="s">
        <v>31</v>
      </c>
      <c r="O92">
        <v>0.2</v>
      </c>
      <c r="P92" t="s">
        <v>22</v>
      </c>
      <c r="Q92" t="s">
        <v>62</v>
      </c>
    </row>
    <row r="93" spans="1:17">
      <c r="A93">
        <v>696600825</v>
      </c>
      <c r="B93" t="s">
        <v>29</v>
      </c>
      <c r="C93" t="s">
        <v>17</v>
      </c>
      <c r="D93" s="1">
        <v>48397</v>
      </c>
      <c r="E93">
        <v>3742</v>
      </c>
      <c r="F93">
        <v>39</v>
      </c>
      <c r="G93" s="2">
        <v>1.04E-2</v>
      </c>
      <c r="H93" s="2">
        <f>Table1[[#This Row],[İade Miktarı]]/Table1[[#This Row],[Satış Miktarı]]</f>
        <v>1.042223409941208E-2</v>
      </c>
      <c r="I93" t="s">
        <v>18</v>
      </c>
      <c r="J93">
        <v>37</v>
      </c>
      <c r="K93">
        <f>Table1[[#This Row],[Satış Miktarı]]*Table1[[#This Row],[Satış Fiyatı]]</f>
        <v>138454</v>
      </c>
      <c r="L93" t="s">
        <v>19</v>
      </c>
      <c r="M93" t="s">
        <v>60</v>
      </c>
      <c r="N93" t="s">
        <v>21</v>
      </c>
      <c r="O93">
        <v>0.2</v>
      </c>
      <c r="P93" t="s">
        <v>22</v>
      </c>
      <c r="Q93" t="s">
        <v>77</v>
      </c>
    </row>
    <row r="94" spans="1:17">
      <c r="A94">
        <v>887570927</v>
      </c>
      <c r="B94" t="s">
        <v>33</v>
      </c>
      <c r="C94" t="s">
        <v>34</v>
      </c>
      <c r="D94" s="1">
        <v>47700</v>
      </c>
      <c r="E94">
        <v>3367</v>
      </c>
      <c r="F94">
        <v>22</v>
      </c>
      <c r="G94" s="2">
        <v>6.4999999999999997E-3</v>
      </c>
      <c r="H94" s="2">
        <f>Table1[[#This Row],[İade Miktarı]]/Table1[[#This Row],[Satış Miktarı]]</f>
        <v>6.5340065340065336E-3</v>
      </c>
      <c r="I94" t="s">
        <v>18</v>
      </c>
      <c r="J94">
        <v>42</v>
      </c>
      <c r="K94">
        <f>Table1[[#This Row],[Satış Miktarı]]*Table1[[#This Row],[Satış Fiyatı]]</f>
        <v>141414</v>
      </c>
      <c r="L94" t="s">
        <v>19</v>
      </c>
      <c r="M94" t="s">
        <v>64</v>
      </c>
      <c r="N94" t="s">
        <v>78</v>
      </c>
      <c r="O94">
        <v>0.2</v>
      </c>
      <c r="P94" t="s">
        <v>22</v>
      </c>
      <c r="Q94" t="s">
        <v>40</v>
      </c>
    </row>
    <row r="95" spans="1:17">
      <c r="A95">
        <v>509430066</v>
      </c>
      <c r="B95" t="s">
        <v>37</v>
      </c>
      <c r="C95" t="s">
        <v>34</v>
      </c>
      <c r="D95" s="1">
        <v>48193</v>
      </c>
      <c r="E95">
        <v>4536</v>
      </c>
      <c r="F95">
        <v>26</v>
      </c>
      <c r="G95" s="2">
        <v>5.7000000000000002E-3</v>
      </c>
      <c r="H95" s="2">
        <f>Table1[[#This Row],[İade Miktarı]]/Table1[[#This Row],[Satış Miktarı]]</f>
        <v>5.7319223985890649E-3</v>
      </c>
      <c r="I95" t="s">
        <v>18</v>
      </c>
      <c r="J95">
        <v>29</v>
      </c>
      <c r="K95">
        <f>Table1[[#This Row],[Satış Miktarı]]*Table1[[#This Row],[Satış Fiyatı]]</f>
        <v>131544</v>
      </c>
      <c r="L95" t="s">
        <v>19</v>
      </c>
      <c r="M95" t="s">
        <v>68</v>
      </c>
      <c r="N95" t="s">
        <v>43</v>
      </c>
      <c r="O95">
        <v>0.2</v>
      </c>
      <c r="P95" t="s">
        <v>22</v>
      </c>
      <c r="Q95" t="s">
        <v>84</v>
      </c>
    </row>
    <row r="96" spans="1:17">
      <c r="A96">
        <v>68254802</v>
      </c>
      <c r="B96" t="s">
        <v>41</v>
      </c>
      <c r="C96" t="s">
        <v>17</v>
      </c>
      <c r="D96" s="1">
        <v>48444</v>
      </c>
      <c r="E96">
        <v>3851</v>
      </c>
      <c r="F96">
        <v>35</v>
      </c>
      <c r="G96" s="2">
        <v>9.1000000000000004E-3</v>
      </c>
      <c r="H96" s="2">
        <f>Table1[[#This Row],[İade Miktarı]]/Table1[[#This Row],[Satış Miktarı]]</f>
        <v>9.0885484289794857E-3</v>
      </c>
      <c r="I96" t="s">
        <v>18</v>
      </c>
      <c r="J96">
        <v>23</v>
      </c>
      <c r="K96">
        <f>Table1[[#This Row],[Satış Miktarı]]*Table1[[#This Row],[Satış Fiyatı]]</f>
        <v>88573</v>
      </c>
      <c r="L96" t="s">
        <v>19</v>
      </c>
      <c r="M96" t="s">
        <v>71</v>
      </c>
      <c r="N96" t="s">
        <v>26</v>
      </c>
      <c r="O96">
        <v>0.2</v>
      </c>
      <c r="P96" t="s">
        <v>27</v>
      </c>
      <c r="Q96" t="s">
        <v>48</v>
      </c>
    </row>
    <row r="97" spans="1:17">
      <c r="A97">
        <v>719188189</v>
      </c>
      <c r="B97" t="s">
        <v>44</v>
      </c>
      <c r="C97" t="s">
        <v>17</v>
      </c>
      <c r="D97" s="1">
        <v>48413</v>
      </c>
      <c r="E97">
        <v>3865</v>
      </c>
      <c r="F97">
        <v>40</v>
      </c>
      <c r="G97" s="2">
        <v>1.03E-2</v>
      </c>
      <c r="H97" s="2">
        <f>Table1[[#This Row],[İade Miktarı]]/Table1[[#This Row],[Satış Miktarı]]</f>
        <v>1.034928848641656E-2</v>
      </c>
      <c r="I97" t="s">
        <v>18</v>
      </c>
      <c r="J97">
        <v>36</v>
      </c>
      <c r="K97">
        <f>Table1[[#This Row],[Satış Miktarı]]*Table1[[#This Row],[Satış Fiyatı]]</f>
        <v>139140</v>
      </c>
      <c r="L97" t="s">
        <v>19</v>
      </c>
      <c r="M97" t="s">
        <v>74</v>
      </c>
      <c r="N97" t="s">
        <v>65</v>
      </c>
      <c r="O97">
        <v>0.2</v>
      </c>
      <c r="P97" t="s">
        <v>22</v>
      </c>
      <c r="Q97" t="s">
        <v>80</v>
      </c>
    </row>
    <row r="98" spans="1:17">
      <c r="A98">
        <v>998534972</v>
      </c>
      <c r="B98" t="s">
        <v>49</v>
      </c>
      <c r="C98" t="s">
        <v>34</v>
      </c>
      <c r="D98" s="1">
        <v>48352</v>
      </c>
      <c r="E98">
        <v>1665</v>
      </c>
      <c r="F98">
        <v>25</v>
      </c>
      <c r="G98" s="2">
        <v>1.4999999999999999E-2</v>
      </c>
      <c r="H98" s="2">
        <f>Table1[[#This Row],[İade Miktarı]]/Table1[[#This Row],[Satış Miktarı]]</f>
        <v>1.5015015015015015E-2</v>
      </c>
      <c r="I98" t="s">
        <v>18</v>
      </c>
      <c r="J98">
        <v>25</v>
      </c>
      <c r="K98">
        <f>Table1[[#This Row],[Satış Miktarı]]*Table1[[#This Row],[Satış Fiyatı]]</f>
        <v>41625</v>
      </c>
      <c r="L98" t="s">
        <v>19</v>
      </c>
      <c r="M98" t="s">
        <v>20</v>
      </c>
      <c r="N98" t="s">
        <v>31</v>
      </c>
      <c r="O98">
        <v>0.2</v>
      </c>
      <c r="P98" t="s">
        <v>22</v>
      </c>
      <c r="Q98" t="s">
        <v>28</v>
      </c>
    </row>
    <row r="99" spans="1:17">
      <c r="A99">
        <v>460089503</v>
      </c>
      <c r="B99" t="s">
        <v>51</v>
      </c>
      <c r="C99" t="s">
        <v>17</v>
      </c>
      <c r="D99" s="1">
        <v>48154</v>
      </c>
      <c r="E99">
        <v>4587</v>
      </c>
      <c r="F99">
        <v>24</v>
      </c>
      <c r="G99" s="2">
        <v>5.1999999999999998E-3</v>
      </c>
      <c r="H99" s="2">
        <f>Table1[[#This Row],[İade Miktarı]]/Table1[[#This Row],[Satış Miktarı]]</f>
        <v>5.232177894048398E-3</v>
      </c>
      <c r="I99" t="s">
        <v>18</v>
      </c>
      <c r="J99">
        <v>48</v>
      </c>
      <c r="K99">
        <f>Table1[[#This Row],[Satış Miktarı]]*Table1[[#This Row],[Satış Fiyatı]]</f>
        <v>220176</v>
      </c>
      <c r="L99" t="s">
        <v>19</v>
      </c>
      <c r="M99" t="s">
        <v>25</v>
      </c>
      <c r="N99" t="s">
        <v>31</v>
      </c>
      <c r="O99">
        <v>0.2</v>
      </c>
      <c r="P99" t="s">
        <v>27</v>
      </c>
      <c r="Q99" t="s">
        <v>48</v>
      </c>
    </row>
    <row r="100" spans="1:17">
      <c r="A100">
        <v>761840246</v>
      </c>
      <c r="B100" t="s">
        <v>54</v>
      </c>
      <c r="C100" t="s">
        <v>34</v>
      </c>
      <c r="D100" s="1">
        <v>48122</v>
      </c>
      <c r="E100">
        <v>4237</v>
      </c>
      <c r="F100">
        <v>30</v>
      </c>
      <c r="G100" s="2">
        <v>7.1000000000000004E-3</v>
      </c>
      <c r="H100" s="2">
        <f>Table1[[#This Row],[İade Miktarı]]/Table1[[#This Row],[Satış Miktarı]]</f>
        <v>7.0804814727401461E-3</v>
      </c>
      <c r="I100" t="s">
        <v>18</v>
      </c>
      <c r="J100">
        <v>44</v>
      </c>
      <c r="K100">
        <f>Table1[[#This Row],[Satış Miktarı]]*Table1[[#This Row],[Satış Fiyatı]]</f>
        <v>186428</v>
      </c>
      <c r="L100" t="s">
        <v>19</v>
      </c>
      <c r="M100" t="s">
        <v>30</v>
      </c>
      <c r="N100" t="s">
        <v>43</v>
      </c>
      <c r="O100">
        <v>0.2</v>
      </c>
      <c r="P100" t="s">
        <v>27</v>
      </c>
      <c r="Q100" t="s">
        <v>77</v>
      </c>
    </row>
    <row r="101" spans="1:17">
      <c r="A101">
        <v>519647027</v>
      </c>
      <c r="B101" t="s">
        <v>57</v>
      </c>
      <c r="C101" t="s">
        <v>34</v>
      </c>
      <c r="D101" s="1">
        <v>47498</v>
      </c>
      <c r="E101">
        <v>1841</v>
      </c>
      <c r="F101">
        <v>23</v>
      </c>
      <c r="G101" s="2">
        <v>1.2500000000000001E-2</v>
      </c>
      <c r="H101" s="2">
        <f>Table1[[#This Row],[İade Miktarı]]/Table1[[#This Row],[Satış Miktarı]]</f>
        <v>1.2493210211841391E-2</v>
      </c>
      <c r="I101" t="s">
        <v>18</v>
      </c>
      <c r="J101">
        <v>40</v>
      </c>
      <c r="K101">
        <f>Table1[[#This Row],[Satış Miktarı]]*Table1[[#This Row],[Satış Fiyatı]]</f>
        <v>73640</v>
      </c>
      <c r="L101" t="s">
        <v>19</v>
      </c>
      <c r="M101" t="s">
        <v>35</v>
      </c>
      <c r="N101" t="s">
        <v>78</v>
      </c>
      <c r="O101">
        <v>0.2</v>
      </c>
      <c r="P101" t="s">
        <v>27</v>
      </c>
      <c r="Q101" t="s">
        <v>48</v>
      </c>
    </row>
    <row r="102" spans="1:17">
      <c r="A102">
        <v>864173653</v>
      </c>
      <c r="B102" t="s">
        <v>59</v>
      </c>
      <c r="C102" t="s">
        <v>17</v>
      </c>
      <c r="D102" s="1">
        <v>47699</v>
      </c>
      <c r="E102">
        <v>4451</v>
      </c>
      <c r="F102">
        <v>34</v>
      </c>
      <c r="G102" s="2">
        <v>7.6E-3</v>
      </c>
      <c r="H102" s="2">
        <f>Table1[[#This Row],[İade Miktarı]]/Table1[[#This Row],[Satış Miktarı]]</f>
        <v>7.6387328690181982E-3</v>
      </c>
      <c r="I102" t="s">
        <v>18</v>
      </c>
      <c r="J102">
        <v>30</v>
      </c>
      <c r="K102">
        <f>Table1[[#This Row],[Satış Miktarı]]*Table1[[#This Row],[Satış Fiyatı]]</f>
        <v>133530</v>
      </c>
      <c r="L102" t="s">
        <v>19</v>
      </c>
      <c r="M102" t="s">
        <v>38</v>
      </c>
      <c r="N102" t="s">
        <v>65</v>
      </c>
      <c r="O102">
        <v>0.2</v>
      </c>
      <c r="P102" t="s">
        <v>27</v>
      </c>
      <c r="Q102" t="s">
        <v>77</v>
      </c>
    </row>
    <row r="103" spans="1:17">
      <c r="A103">
        <v>157409899</v>
      </c>
      <c r="B103" t="s">
        <v>63</v>
      </c>
      <c r="C103" t="s">
        <v>17</v>
      </c>
      <c r="D103" s="1">
        <v>48123</v>
      </c>
      <c r="E103">
        <v>3476</v>
      </c>
      <c r="F103">
        <v>38</v>
      </c>
      <c r="G103" s="2">
        <v>1.09E-2</v>
      </c>
      <c r="H103" s="2">
        <f>Table1[[#This Row],[İade Miktarı]]/Table1[[#This Row],[Satış Miktarı]]</f>
        <v>1.0932105868814729E-2</v>
      </c>
      <c r="I103" t="s">
        <v>18</v>
      </c>
      <c r="J103">
        <v>48</v>
      </c>
      <c r="K103">
        <f>Table1[[#This Row],[Satış Miktarı]]*Table1[[#This Row],[Satış Fiyatı]]</f>
        <v>166848</v>
      </c>
      <c r="L103" t="s">
        <v>19</v>
      </c>
      <c r="M103" t="s">
        <v>42</v>
      </c>
      <c r="N103" t="s">
        <v>78</v>
      </c>
      <c r="O103">
        <v>0.2</v>
      </c>
      <c r="P103" t="s">
        <v>27</v>
      </c>
      <c r="Q103" t="s">
        <v>56</v>
      </c>
    </row>
    <row r="104" spans="1:17">
      <c r="A104">
        <v>347605193</v>
      </c>
      <c r="B104" t="s">
        <v>67</v>
      </c>
      <c r="C104" t="s">
        <v>17</v>
      </c>
      <c r="D104" s="1">
        <v>47814</v>
      </c>
      <c r="E104">
        <v>1618</v>
      </c>
      <c r="F104">
        <v>34</v>
      </c>
      <c r="G104" s="2">
        <v>2.1000000000000001E-2</v>
      </c>
      <c r="H104" s="2">
        <f>Table1[[#This Row],[İade Miktarı]]/Table1[[#This Row],[Satış Miktarı]]</f>
        <v>2.1013597033374538E-2</v>
      </c>
      <c r="I104" t="s">
        <v>18</v>
      </c>
      <c r="J104">
        <v>37</v>
      </c>
      <c r="K104">
        <f>Table1[[#This Row],[Satış Miktarı]]*Table1[[#This Row],[Satış Fiyatı]]</f>
        <v>59866</v>
      </c>
      <c r="L104" t="s">
        <v>19</v>
      </c>
      <c r="M104" t="s">
        <v>46</v>
      </c>
      <c r="N104" t="s">
        <v>21</v>
      </c>
      <c r="O104">
        <v>0.2</v>
      </c>
      <c r="P104" t="s">
        <v>27</v>
      </c>
      <c r="Q104" t="s">
        <v>80</v>
      </c>
    </row>
    <row r="105" spans="1:17">
      <c r="A105">
        <v>678386064</v>
      </c>
      <c r="B105" t="s">
        <v>70</v>
      </c>
      <c r="C105" t="s">
        <v>17</v>
      </c>
      <c r="D105" s="1">
        <v>47941</v>
      </c>
      <c r="E105">
        <v>4073</v>
      </c>
      <c r="F105">
        <v>28</v>
      </c>
      <c r="G105" s="2">
        <v>6.8999999999999999E-3</v>
      </c>
      <c r="H105" s="2">
        <f>Table1[[#This Row],[İade Miktarı]]/Table1[[#This Row],[Satış Miktarı]]</f>
        <v>6.8745396513626321E-3</v>
      </c>
      <c r="I105" t="s">
        <v>18</v>
      </c>
      <c r="J105">
        <v>28</v>
      </c>
      <c r="K105">
        <f>Table1[[#This Row],[Satış Miktarı]]*Table1[[#This Row],[Satış Fiyatı]]</f>
        <v>114044</v>
      </c>
      <c r="L105" t="s">
        <v>19</v>
      </c>
      <c r="M105" t="s">
        <v>46</v>
      </c>
      <c r="N105" t="s">
        <v>47</v>
      </c>
      <c r="O105">
        <v>0.2</v>
      </c>
      <c r="P105" t="s">
        <v>27</v>
      </c>
      <c r="Q105" t="s">
        <v>79</v>
      </c>
    </row>
    <row r="106" spans="1:17">
      <c r="A106">
        <v>3678366</v>
      </c>
      <c r="B106" t="s">
        <v>73</v>
      </c>
      <c r="C106" t="s">
        <v>17</v>
      </c>
      <c r="D106" s="1">
        <v>48281</v>
      </c>
      <c r="E106">
        <v>1526</v>
      </c>
      <c r="F106">
        <v>24</v>
      </c>
      <c r="G106" s="2">
        <v>1.5699999999999999E-2</v>
      </c>
      <c r="H106" s="2">
        <f>Table1[[#This Row],[İade Miktarı]]/Table1[[#This Row],[Satış Miktarı]]</f>
        <v>1.5727391874180863E-2</v>
      </c>
      <c r="I106" t="s">
        <v>18</v>
      </c>
      <c r="J106">
        <v>28</v>
      </c>
      <c r="K106">
        <f>Table1[[#This Row],[Satış Miktarı]]*Table1[[#This Row],[Satış Fiyatı]]</f>
        <v>42728</v>
      </c>
      <c r="L106" t="s">
        <v>19</v>
      </c>
      <c r="M106" t="s">
        <v>52</v>
      </c>
      <c r="N106" t="s">
        <v>39</v>
      </c>
      <c r="O106">
        <v>0.2</v>
      </c>
      <c r="P106" t="s">
        <v>22</v>
      </c>
      <c r="Q106" t="s">
        <v>80</v>
      </c>
    </row>
    <row r="107" spans="1:17">
      <c r="A107">
        <v>858071449</v>
      </c>
      <c r="B107" t="s">
        <v>16</v>
      </c>
      <c r="C107" t="s">
        <v>17</v>
      </c>
      <c r="D107" s="1">
        <v>47655</v>
      </c>
      <c r="E107">
        <v>4721</v>
      </c>
      <c r="F107">
        <v>45</v>
      </c>
      <c r="G107" s="2">
        <v>9.4999999999999998E-3</v>
      </c>
      <c r="H107" s="2">
        <f>Table1[[#This Row],[İade Miktarı]]/Table1[[#This Row],[Satış Miktarı]]</f>
        <v>9.5318788392289768E-3</v>
      </c>
      <c r="I107" t="s">
        <v>18</v>
      </c>
      <c r="J107">
        <v>36</v>
      </c>
      <c r="K107">
        <f>Table1[[#This Row],[Satış Miktarı]]*Table1[[#This Row],[Satış Fiyatı]]</f>
        <v>169956</v>
      </c>
      <c r="L107" t="s">
        <v>19</v>
      </c>
      <c r="M107" t="s">
        <v>55</v>
      </c>
      <c r="N107" t="s">
        <v>78</v>
      </c>
      <c r="O107">
        <v>0.2</v>
      </c>
      <c r="P107" t="s">
        <v>22</v>
      </c>
      <c r="Q107" t="s">
        <v>84</v>
      </c>
    </row>
    <row r="108" spans="1:17">
      <c r="A108">
        <v>912263014</v>
      </c>
      <c r="B108" t="s">
        <v>24</v>
      </c>
      <c r="C108" t="s">
        <v>17</v>
      </c>
      <c r="D108" s="1">
        <v>47632</v>
      </c>
      <c r="E108">
        <v>2069</v>
      </c>
      <c r="F108">
        <v>31</v>
      </c>
      <c r="G108" s="2">
        <v>1.4999999999999999E-2</v>
      </c>
      <c r="H108" s="2">
        <f>Table1[[#This Row],[İade Miktarı]]/Table1[[#This Row],[Satış Miktarı]]</f>
        <v>1.4983083615273078E-2</v>
      </c>
      <c r="I108" t="s">
        <v>45</v>
      </c>
      <c r="J108">
        <v>40</v>
      </c>
      <c r="K108">
        <f>Table1[[#This Row],[Satış Miktarı]]*Table1[[#This Row],[Satış Fiyatı]]</f>
        <v>82760</v>
      </c>
      <c r="L108" t="s">
        <v>19</v>
      </c>
      <c r="M108" t="s">
        <v>58</v>
      </c>
      <c r="N108" t="s">
        <v>21</v>
      </c>
      <c r="O108">
        <v>0.2</v>
      </c>
      <c r="P108" t="s">
        <v>22</v>
      </c>
      <c r="Q108" t="s">
        <v>32</v>
      </c>
    </row>
    <row r="109" spans="1:17">
      <c r="A109">
        <v>645409990</v>
      </c>
      <c r="B109" t="s">
        <v>29</v>
      </c>
      <c r="C109" t="s">
        <v>17</v>
      </c>
      <c r="D109" s="1">
        <v>47724</v>
      </c>
      <c r="E109">
        <v>3346</v>
      </c>
      <c r="F109">
        <v>28</v>
      </c>
      <c r="G109" s="2">
        <v>8.3999999999999995E-3</v>
      </c>
      <c r="H109" s="2">
        <f>Table1[[#This Row],[İade Miktarı]]/Table1[[#This Row],[Satış Miktarı]]</f>
        <v>8.368200836820083E-3</v>
      </c>
      <c r="I109" t="s">
        <v>18</v>
      </c>
      <c r="J109">
        <v>26</v>
      </c>
      <c r="K109">
        <f>Table1[[#This Row],[Satış Miktarı]]*Table1[[#This Row],[Satış Fiyatı]]</f>
        <v>86996</v>
      </c>
      <c r="L109" t="s">
        <v>19</v>
      </c>
      <c r="M109" t="s">
        <v>60</v>
      </c>
      <c r="N109" t="s">
        <v>43</v>
      </c>
      <c r="O109">
        <v>0.2</v>
      </c>
      <c r="P109" t="s">
        <v>27</v>
      </c>
      <c r="Q109" t="s">
        <v>62</v>
      </c>
    </row>
    <row r="110" spans="1:17">
      <c r="A110">
        <v>862364127</v>
      </c>
      <c r="B110" t="s">
        <v>33</v>
      </c>
      <c r="C110" t="s">
        <v>34</v>
      </c>
      <c r="D110" s="1">
        <v>48368</v>
      </c>
      <c r="E110">
        <v>3613</v>
      </c>
      <c r="F110">
        <v>11</v>
      </c>
      <c r="G110" s="2">
        <v>3.0000000000000001E-3</v>
      </c>
      <c r="H110" s="2">
        <f>Table1[[#This Row],[İade Miktarı]]/Table1[[#This Row],[Satış Miktarı]]</f>
        <v>3.0445613063935788E-3</v>
      </c>
      <c r="I110" t="s">
        <v>18</v>
      </c>
      <c r="J110">
        <v>44</v>
      </c>
      <c r="K110">
        <f>Table1[[#This Row],[Satış Miktarı]]*Table1[[#This Row],[Satış Fiyatı]]</f>
        <v>158972</v>
      </c>
      <c r="L110" t="s">
        <v>19</v>
      </c>
      <c r="M110" t="s">
        <v>64</v>
      </c>
      <c r="N110" t="s">
        <v>47</v>
      </c>
      <c r="O110">
        <v>0.2</v>
      </c>
      <c r="P110" t="s">
        <v>27</v>
      </c>
      <c r="Q110" t="s">
        <v>56</v>
      </c>
    </row>
    <row r="111" spans="1:17">
      <c r="A111">
        <v>896962324</v>
      </c>
      <c r="B111" t="s">
        <v>37</v>
      </c>
      <c r="C111" t="s">
        <v>34</v>
      </c>
      <c r="D111" s="1">
        <v>47993</v>
      </c>
      <c r="E111">
        <v>1563</v>
      </c>
      <c r="F111">
        <v>48</v>
      </c>
      <c r="G111" s="2">
        <v>3.0700000000000002E-2</v>
      </c>
      <c r="H111" s="2">
        <f>Table1[[#This Row],[İade Miktarı]]/Table1[[#This Row],[Satış Miktarı]]</f>
        <v>3.0710172744721688E-2</v>
      </c>
      <c r="I111" t="s">
        <v>18</v>
      </c>
      <c r="J111">
        <v>28</v>
      </c>
      <c r="K111">
        <f>Table1[[#This Row],[Satış Miktarı]]*Table1[[#This Row],[Satış Fiyatı]]</f>
        <v>43764</v>
      </c>
      <c r="L111" t="s">
        <v>19</v>
      </c>
      <c r="M111" t="s">
        <v>68</v>
      </c>
      <c r="N111" t="s">
        <v>78</v>
      </c>
      <c r="O111">
        <v>0.2</v>
      </c>
      <c r="P111" t="s">
        <v>27</v>
      </c>
      <c r="Q111" t="s">
        <v>77</v>
      </c>
    </row>
    <row r="112" spans="1:17">
      <c r="A112">
        <v>504287860</v>
      </c>
      <c r="B112" t="s">
        <v>41</v>
      </c>
      <c r="C112" t="s">
        <v>17</v>
      </c>
      <c r="D112" s="1">
        <v>48432</v>
      </c>
      <c r="E112">
        <v>1567</v>
      </c>
      <c r="F112">
        <v>11</v>
      </c>
      <c r="G112" s="2">
        <v>7.0000000000000001E-3</v>
      </c>
      <c r="H112" s="2">
        <f>Table1[[#This Row],[İade Miktarı]]/Table1[[#This Row],[Satış Miktarı]]</f>
        <v>7.0197830248883214E-3</v>
      </c>
      <c r="I112" t="s">
        <v>18</v>
      </c>
      <c r="J112">
        <v>37</v>
      </c>
      <c r="K112">
        <f>Table1[[#This Row],[Satış Miktarı]]*Table1[[#This Row],[Satış Fiyatı]]</f>
        <v>57979</v>
      </c>
      <c r="L112" t="s">
        <v>19</v>
      </c>
      <c r="M112" t="s">
        <v>71</v>
      </c>
      <c r="N112" t="s">
        <v>39</v>
      </c>
      <c r="O112">
        <v>0.2</v>
      </c>
      <c r="P112" t="s">
        <v>27</v>
      </c>
      <c r="Q112" t="s">
        <v>40</v>
      </c>
    </row>
    <row r="113" spans="1:17">
      <c r="A113">
        <v>605464755</v>
      </c>
      <c r="B113" t="s">
        <v>44</v>
      </c>
      <c r="C113" t="s">
        <v>17</v>
      </c>
      <c r="D113" s="1">
        <v>48253</v>
      </c>
      <c r="E113">
        <v>1211</v>
      </c>
      <c r="F113">
        <v>11</v>
      </c>
      <c r="G113" s="2">
        <v>9.1000000000000004E-3</v>
      </c>
      <c r="H113" s="2">
        <f>Table1[[#This Row],[İade Miktarı]]/Table1[[#This Row],[Satış Miktarı]]</f>
        <v>9.0834021469859624E-3</v>
      </c>
      <c r="I113" t="s">
        <v>18</v>
      </c>
      <c r="J113">
        <v>47</v>
      </c>
      <c r="K113">
        <f>Table1[[#This Row],[Satış Miktarı]]*Table1[[#This Row],[Satış Fiyatı]]</f>
        <v>56917</v>
      </c>
      <c r="L113" t="s">
        <v>19</v>
      </c>
      <c r="M113" t="s">
        <v>74</v>
      </c>
      <c r="N113" t="s">
        <v>21</v>
      </c>
      <c r="O113">
        <v>0.2</v>
      </c>
      <c r="P113" t="s">
        <v>27</v>
      </c>
      <c r="Q113" t="s">
        <v>84</v>
      </c>
    </row>
    <row r="114" spans="1:17">
      <c r="A114">
        <v>609813239</v>
      </c>
      <c r="B114" t="s">
        <v>49</v>
      </c>
      <c r="C114" t="s">
        <v>34</v>
      </c>
      <c r="D114" s="1">
        <v>47890</v>
      </c>
      <c r="E114">
        <v>4887</v>
      </c>
      <c r="F114">
        <v>38</v>
      </c>
      <c r="G114" s="2">
        <v>7.7999999999999996E-3</v>
      </c>
      <c r="H114" s="2">
        <f>Table1[[#This Row],[İade Miktarı]]/Table1[[#This Row],[Satış Miktarı]]</f>
        <v>7.7757315326376104E-3</v>
      </c>
      <c r="I114" t="s">
        <v>18</v>
      </c>
      <c r="J114">
        <v>27</v>
      </c>
      <c r="K114">
        <f>Table1[[#This Row],[Satış Miktarı]]*Table1[[#This Row],[Satış Fiyatı]]</f>
        <v>131949</v>
      </c>
      <c r="L114" t="s">
        <v>19</v>
      </c>
      <c r="M114" t="s">
        <v>20</v>
      </c>
      <c r="N114" t="s">
        <v>50</v>
      </c>
      <c r="O114">
        <v>0.2</v>
      </c>
      <c r="P114" t="s">
        <v>22</v>
      </c>
      <c r="Q114" t="s">
        <v>40</v>
      </c>
    </row>
    <row r="115" spans="1:17">
      <c r="A115">
        <v>186319538</v>
      </c>
      <c r="B115" t="s">
        <v>51</v>
      </c>
      <c r="C115" t="s">
        <v>17</v>
      </c>
      <c r="D115" s="1">
        <v>48076</v>
      </c>
      <c r="E115">
        <v>1025</v>
      </c>
      <c r="F115">
        <v>20</v>
      </c>
      <c r="G115" s="2">
        <v>1.95E-2</v>
      </c>
      <c r="H115" s="2">
        <f>Table1[[#This Row],[İade Miktarı]]/Table1[[#This Row],[Satış Miktarı]]</f>
        <v>1.9512195121951219E-2</v>
      </c>
      <c r="I115" t="s">
        <v>18</v>
      </c>
      <c r="J115">
        <v>22</v>
      </c>
      <c r="K115">
        <f>Table1[[#This Row],[Satış Miktarı]]*Table1[[#This Row],[Satış Fiyatı]]</f>
        <v>22550</v>
      </c>
      <c r="L115" t="s">
        <v>19</v>
      </c>
      <c r="M115" t="s">
        <v>25</v>
      </c>
      <c r="N115" t="s">
        <v>21</v>
      </c>
      <c r="O115">
        <v>0.2</v>
      </c>
      <c r="P115" t="s">
        <v>27</v>
      </c>
      <c r="Q115" t="s">
        <v>62</v>
      </c>
    </row>
    <row r="116" spans="1:17">
      <c r="A116">
        <v>709066745</v>
      </c>
      <c r="B116" t="s">
        <v>54</v>
      </c>
      <c r="C116" t="s">
        <v>34</v>
      </c>
      <c r="D116" s="1">
        <v>47693</v>
      </c>
      <c r="E116">
        <v>4656</v>
      </c>
      <c r="F116">
        <v>43</v>
      </c>
      <c r="G116" s="2">
        <v>9.1999999999999998E-3</v>
      </c>
      <c r="H116" s="2">
        <f>Table1[[#This Row],[İade Miktarı]]/Table1[[#This Row],[Satış Miktarı]]</f>
        <v>9.2353951890034366E-3</v>
      </c>
      <c r="I116" t="s">
        <v>18</v>
      </c>
      <c r="J116">
        <v>26</v>
      </c>
      <c r="K116">
        <f>Table1[[#This Row],[Satış Miktarı]]*Table1[[#This Row],[Satış Fiyatı]]</f>
        <v>121056</v>
      </c>
      <c r="L116" t="s">
        <v>19</v>
      </c>
      <c r="M116" t="s">
        <v>30</v>
      </c>
      <c r="N116" t="s">
        <v>39</v>
      </c>
      <c r="O116">
        <v>0.2</v>
      </c>
      <c r="P116" t="s">
        <v>27</v>
      </c>
      <c r="Q116" t="s">
        <v>77</v>
      </c>
    </row>
    <row r="117" spans="1:17">
      <c r="A117">
        <v>454190172</v>
      </c>
      <c r="B117" t="s">
        <v>57</v>
      </c>
      <c r="C117" t="s">
        <v>34</v>
      </c>
      <c r="D117" s="1">
        <v>47873</v>
      </c>
      <c r="E117">
        <v>2848</v>
      </c>
      <c r="F117">
        <v>48</v>
      </c>
      <c r="G117" s="2">
        <v>1.6899999999999998E-2</v>
      </c>
      <c r="H117" s="2">
        <f>Table1[[#This Row],[İade Miktarı]]/Table1[[#This Row],[Satış Miktarı]]</f>
        <v>1.6853932584269662E-2</v>
      </c>
      <c r="I117" t="s">
        <v>18</v>
      </c>
      <c r="J117">
        <v>41</v>
      </c>
      <c r="K117">
        <f>Table1[[#This Row],[Satış Miktarı]]*Table1[[#This Row],[Satış Fiyatı]]</f>
        <v>116768</v>
      </c>
      <c r="L117" t="s">
        <v>19</v>
      </c>
      <c r="M117" t="s">
        <v>35</v>
      </c>
      <c r="N117" t="s">
        <v>61</v>
      </c>
      <c r="O117">
        <v>0.2</v>
      </c>
      <c r="P117" t="s">
        <v>22</v>
      </c>
      <c r="Q117" t="s">
        <v>75</v>
      </c>
    </row>
    <row r="118" spans="1:17">
      <c r="A118">
        <v>972905267</v>
      </c>
      <c r="B118" t="s">
        <v>59</v>
      </c>
      <c r="C118" t="s">
        <v>17</v>
      </c>
      <c r="D118" s="1">
        <v>48347</v>
      </c>
      <c r="E118">
        <v>3435</v>
      </c>
      <c r="F118">
        <v>12</v>
      </c>
      <c r="G118" s="2">
        <v>3.5000000000000001E-3</v>
      </c>
      <c r="H118" s="2">
        <f>Table1[[#This Row],[İade Miktarı]]/Table1[[#This Row],[Satış Miktarı]]</f>
        <v>3.4934497816593887E-3</v>
      </c>
      <c r="I118" t="s">
        <v>18</v>
      </c>
      <c r="J118">
        <v>40</v>
      </c>
      <c r="K118">
        <f>Table1[[#This Row],[Satış Miktarı]]*Table1[[#This Row],[Satış Fiyatı]]</f>
        <v>137400</v>
      </c>
      <c r="L118" t="s">
        <v>19</v>
      </c>
      <c r="M118" t="s">
        <v>38</v>
      </c>
      <c r="N118" t="s">
        <v>21</v>
      </c>
      <c r="O118">
        <v>0.2</v>
      </c>
      <c r="P118" t="s">
        <v>22</v>
      </c>
      <c r="Q118" t="s">
        <v>66</v>
      </c>
    </row>
    <row r="119" spans="1:17">
      <c r="A119">
        <v>966031957</v>
      </c>
      <c r="B119" t="s">
        <v>63</v>
      </c>
      <c r="C119" t="s">
        <v>17</v>
      </c>
      <c r="D119" s="1">
        <v>48129</v>
      </c>
      <c r="E119">
        <v>3231</v>
      </c>
      <c r="F119">
        <v>34</v>
      </c>
      <c r="G119" s="2">
        <v>1.0500000000000001E-2</v>
      </c>
      <c r="H119" s="2">
        <f>Table1[[#This Row],[İade Miktarı]]/Table1[[#This Row],[Satış Miktarı]]</f>
        <v>1.0523057876818322E-2</v>
      </c>
      <c r="I119" t="s">
        <v>85</v>
      </c>
      <c r="J119">
        <v>20</v>
      </c>
      <c r="K119">
        <f>Table1[[#This Row],[Satış Miktarı]]*Table1[[#This Row],[Satış Fiyatı]]</f>
        <v>64620</v>
      </c>
      <c r="L119" t="s">
        <v>86</v>
      </c>
      <c r="M119" t="s">
        <v>42</v>
      </c>
      <c r="N119" t="s">
        <v>31</v>
      </c>
      <c r="O119">
        <v>0.2</v>
      </c>
      <c r="P119" t="s">
        <v>22</v>
      </c>
      <c r="Q119" t="s">
        <v>84</v>
      </c>
    </row>
    <row r="120" spans="1:17">
      <c r="A120">
        <v>205495518</v>
      </c>
      <c r="B120" t="s">
        <v>67</v>
      </c>
      <c r="C120" t="s">
        <v>17</v>
      </c>
      <c r="D120" s="1">
        <v>47550</v>
      </c>
      <c r="E120">
        <v>1409</v>
      </c>
      <c r="F120">
        <v>48</v>
      </c>
      <c r="G120" s="2">
        <v>3.4099999999999998E-2</v>
      </c>
      <c r="H120" s="2">
        <f>Table1[[#This Row],[İade Miktarı]]/Table1[[#This Row],[Satış Miktarı]]</f>
        <v>3.4066713981547196E-2</v>
      </c>
      <c r="I120" t="s">
        <v>18</v>
      </c>
      <c r="J120">
        <v>47</v>
      </c>
      <c r="K120">
        <f>Table1[[#This Row],[Satış Miktarı]]*Table1[[#This Row],[Satış Fiyatı]]</f>
        <v>66223</v>
      </c>
      <c r="L120" t="s">
        <v>19</v>
      </c>
      <c r="M120" t="s">
        <v>46</v>
      </c>
      <c r="N120" t="s">
        <v>78</v>
      </c>
      <c r="O120">
        <v>0.2</v>
      </c>
      <c r="P120" t="s">
        <v>22</v>
      </c>
      <c r="Q120" t="s">
        <v>84</v>
      </c>
    </row>
    <row r="121" spans="1:17">
      <c r="A121">
        <v>53858763</v>
      </c>
      <c r="B121" t="s">
        <v>70</v>
      </c>
      <c r="C121" t="s">
        <v>17</v>
      </c>
      <c r="D121" s="1">
        <v>48074</v>
      </c>
      <c r="E121">
        <v>2238</v>
      </c>
      <c r="F121">
        <v>13</v>
      </c>
      <c r="G121" s="2">
        <v>5.7999999999999996E-3</v>
      </c>
      <c r="H121" s="2">
        <f>Table1[[#This Row],[İade Miktarı]]/Table1[[#This Row],[Satış Miktarı]]</f>
        <v>5.8087578194816799E-3</v>
      </c>
      <c r="I121" t="s">
        <v>18</v>
      </c>
      <c r="J121">
        <v>40</v>
      </c>
      <c r="K121">
        <f>Table1[[#This Row],[Satış Miktarı]]*Table1[[#This Row],[Satış Fiyatı]]</f>
        <v>89520</v>
      </c>
      <c r="L121" t="s">
        <v>19</v>
      </c>
      <c r="M121" t="s">
        <v>46</v>
      </c>
      <c r="N121" t="s">
        <v>26</v>
      </c>
      <c r="O121">
        <v>0.2</v>
      </c>
      <c r="P121" t="s">
        <v>22</v>
      </c>
      <c r="Q121" t="s">
        <v>40</v>
      </c>
    </row>
    <row r="122" spans="1:17">
      <c r="A122">
        <v>800348229</v>
      </c>
      <c r="B122" t="s">
        <v>73</v>
      </c>
      <c r="C122" t="s">
        <v>17</v>
      </c>
      <c r="D122" s="1">
        <v>48459</v>
      </c>
      <c r="E122">
        <v>1199</v>
      </c>
      <c r="F122">
        <v>10</v>
      </c>
      <c r="G122" s="2">
        <v>8.3000000000000001E-3</v>
      </c>
      <c r="H122" s="2">
        <f>Table1[[#This Row],[İade Miktarı]]/Table1[[#This Row],[Satış Miktarı]]</f>
        <v>8.3402835696413675E-3</v>
      </c>
      <c r="I122" t="s">
        <v>18</v>
      </c>
      <c r="J122">
        <v>23</v>
      </c>
      <c r="K122">
        <f>Table1[[#This Row],[Satış Miktarı]]*Table1[[#This Row],[Satış Fiyatı]]</f>
        <v>27577</v>
      </c>
      <c r="L122" t="s">
        <v>19</v>
      </c>
      <c r="M122" t="s">
        <v>52</v>
      </c>
      <c r="N122" t="s">
        <v>78</v>
      </c>
      <c r="O122">
        <v>0.2</v>
      </c>
      <c r="P122" t="s">
        <v>27</v>
      </c>
      <c r="Q122" t="s">
        <v>28</v>
      </c>
    </row>
    <row r="123" spans="1:17">
      <c r="A123">
        <v>845934966</v>
      </c>
      <c r="B123" t="s">
        <v>16</v>
      </c>
      <c r="C123" t="s">
        <v>17</v>
      </c>
      <c r="D123" s="1">
        <v>47497</v>
      </c>
      <c r="E123">
        <v>3405</v>
      </c>
      <c r="F123">
        <v>33</v>
      </c>
      <c r="G123" s="2">
        <v>9.7000000000000003E-3</v>
      </c>
      <c r="H123" s="2">
        <f>Table1[[#This Row],[İade Miktarı]]/Table1[[#This Row],[Satış Miktarı]]</f>
        <v>9.6916299559471359E-3</v>
      </c>
      <c r="I123" t="s">
        <v>18</v>
      </c>
      <c r="J123">
        <v>47</v>
      </c>
      <c r="K123">
        <f>Table1[[#This Row],[Satış Miktarı]]*Table1[[#This Row],[Satış Fiyatı]]</f>
        <v>160035</v>
      </c>
      <c r="L123" t="s">
        <v>19</v>
      </c>
      <c r="M123" t="s">
        <v>55</v>
      </c>
      <c r="N123" t="s">
        <v>65</v>
      </c>
      <c r="O123">
        <v>0.2</v>
      </c>
      <c r="P123" t="s">
        <v>22</v>
      </c>
      <c r="Q123" t="s">
        <v>77</v>
      </c>
    </row>
    <row r="124" spans="1:17">
      <c r="A124">
        <v>194968374</v>
      </c>
      <c r="B124" t="s">
        <v>24</v>
      </c>
      <c r="C124" t="s">
        <v>17</v>
      </c>
      <c r="D124" s="1">
        <v>48069</v>
      </c>
      <c r="E124">
        <v>4101</v>
      </c>
      <c r="F124">
        <v>31</v>
      </c>
      <c r="G124" s="2">
        <v>7.6E-3</v>
      </c>
      <c r="H124" s="2">
        <f>Table1[[#This Row],[İade Miktarı]]/Table1[[#This Row],[Satış Miktarı]]</f>
        <v>7.5591319190441352E-3</v>
      </c>
      <c r="I124" t="s">
        <v>18</v>
      </c>
      <c r="J124">
        <v>38</v>
      </c>
      <c r="K124">
        <f>Table1[[#This Row],[Satış Miktarı]]*Table1[[#This Row],[Satış Fiyatı]]</f>
        <v>155838</v>
      </c>
      <c r="L124" t="s">
        <v>19</v>
      </c>
      <c r="M124" t="s">
        <v>58</v>
      </c>
      <c r="N124" t="s">
        <v>65</v>
      </c>
      <c r="O124">
        <v>0.2</v>
      </c>
      <c r="P124" t="s">
        <v>27</v>
      </c>
      <c r="Q124" t="s">
        <v>80</v>
      </c>
    </row>
    <row r="125" spans="1:17">
      <c r="A125">
        <v>297195918</v>
      </c>
      <c r="B125" t="s">
        <v>29</v>
      </c>
      <c r="C125" t="s">
        <v>17</v>
      </c>
      <c r="D125" s="1">
        <v>48002</v>
      </c>
      <c r="E125">
        <v>3312</v>
      </c>
      <c r="F125">
        <v>18</v>
      </c>
      <c r="G125" s="2">
        <v>5.4000000000000003E-3</v>
      </c>
      <c r="H125" s="2">
        <f>Table1[[#This Row],[İade Miktarı]]/Table1[[#This Row],[Satış Miktarı]]</f>
        <v>5.434782608695652E-3</v>
      </c>
      <c r="I125" t="s">
        <v>18</v>
      </c>
      <c r="J125">
        <v>36</v>
      </c>
      <c r="K125">
        <f>Table1[[#This Row],[Satış Miktarı]]*Table1[[#This Row],[Satış Fiyatı]]</f>
        <v>119232</v>
      </c>
      <c r="L125" t="s">
        <v>19</v>
      </c>
      <c r="M125" t="s">
        <v>60</v>
      </c>
      <c r="N125" t="s">
        <v>65</v>
      </c>
      <c r="O125">
        <v>0.2</v>
      </c>
      <c r="P125" t="s">
        <v>27</v>
      </c>
      <c r="Q125" t="s">
        <v>28</v>
      </c>
    </row>
    <row r="126" spans="1:17">
      <c r="A126">
        <v>701178266</v>
      </c>
      <c r="B126" t="s">
        <v>33</v>
      </c>
      <c r="C126" t="s">
        <v>34</v>
      </c>
      <c r="D126" s="1">
        <v>47987</v>
      </c>
      <c r="E126">
        <v>4427</v>
      </c>
      <c r="F126">
        <v>43</v>
      </c>
      <c r="G126" s="2">
        <v>9.7000000000000003E-3</v>
      </c>
      <c r="H126" s="2">
        <f>Table1[[#This Row],[İade Miktarı]]/Table1[[#This Row],[Satış Miktarı]]</f>
        <v>9.7131240117461042E-3</v>
      </c>
      <c r="I126" t="s">
        <v>18</v>
      </c>
      <c r="J126">
        <v>39</v>
      </c>
      <c r="K126">
        <f>Table1[[#This Row],[Satış Miktarı]]*Table1[[#This Row],[Satış Fiyatı]]</f>
        <v>172653</v>
      </c>
      <c r="L126" t="s">
        <v>19</v>
      </c>
      <c r="M126" t="s">
        <v>64</v>
      </c>
      <c r="N126" t="s">
        <v>43</v>
      </c>
      <c r="O126">
        <v>0.2</v>
      </c>
      <c r="P126" t="s">
        <v>27</v>
      </c>
      <c r="Q126" t="s">
        <v>79</v>
      </c>
    </row>
    <row r="127" spans="1:17">
      <c r="A127">
        <v>682379533</v>
      </c>
      <c r="B127" t="s">
        <v>37</v>
      </c>
      <c r="C127" t="s">
        <v>34</v>
      </c>
      <c r="D127" s="1">
        <v>47583</v>
      </c>
      <c r="E127">
        <v>3739</v>
      </c>
      <c r="F127">
        <v>11</v>
      </c>
      <c r="G127" s="2">
        <v>2.8999999999999998E-3</v>
      </c>
      <c r="H127" s="2">
        <f>Table1[[#This Row],[İade Miktarı]]/Table1[[#This Row],[Satış Miktarı]]</f>
        <v>2.941963091735758E-3</v>
      </c>
      <c r="I127" t="s">
        <v>18</v>
      </c>
      <c r="J127">
        <v>46</v>
      </c>
      <c r="K127">
        <f>Table1[[#This Row],[Satış Miktarı]]*Table1[[#This Row],[Satış Fiyatı]]</f>
        <v>171994</v>
      </c>
      <c r="L127" t="s">
        <v>19</v>
      </c>
      <c r="M127" t="s">
        <v>68</v>
      </c>
      <c r="N127" t="s">
        <v>61</v>
      </c>
      <c r="O127">
        <v>0.2</v>
      </c>
      <c r="P127" t="s">
        <v>27</v>
      </c>
      <c r="Q127" t="s">
        <v>82</v>
      </c>
    </row>
    <row r="128" spans="1:17">
      <c r="A128">
        <v>641633091</v>
      </c>
      <c r="B128" t="s">
        <v>41</v>
      </c>
      <c r="C128" t="s">
        <v>17</v>
      </c>
      <c r="D128" s="1">
        <v>48293</v>
      </c>
      <c r="E128">
        <v>4158</v>
      </c>
      <c r="F128">
        <v>16</v>
      </c>
      <c r="G128" s="2">
        <v>3.8E-3</v>
      </c>
      <c r="H128" s="2">
        <f>Table1[[#This Row],[İade Miktarı]]/Table1[[#This Row],[Satış Miktarı]]</f>
        <v>3.8480038480038481E-3</v>
      </c>
      <c r="I128" t="s">
        <v>45</v>
      </c>
      <c r="J128">
        <v>39</v>
      </c>
      <c r="K128">
        <f>Table1[[#This Row],[Satış Miktarı]]*Table1[[#This Row],[Satış Fiyatı]]</f>
        <v>162162</v>
      </c>
      <c r="L128" t="s">
        <v>19</v>
      </c>
      <c r="M128" t="s">
        <v>71</v>
      </c>
      <c r="N128" t="s">
        <v>39</v>
      </c>
      <c r="O128">
        <v>0.2</v>
      </c>
      <c r="P128" t="s">
        <v>22</v>
      </c>
      <c r="Q128" t="s">
        <v>82</v>
      </c>
    </row>
    <row r="129" spans="1:17">
      <c r="A129">
        <v>271105689</v>
      </c>
      <c r="B129" t="s">
        <v>44</v>
      </c>
      <c r="C129" t="s">
        <v>17</v>
      </c>
      <c r="D129" s="1">
        <v>47881</v>
      </c>
      <c r="E129">
        <v>1288</v>
      </c>
      <c r="F129">
        <v>46</v>
      </c>
      <c r="G129" s="2">
        <v>3.5700000000000003E-2</v>
      </c>
      <c r="H129" s="2">
        <f>Table1[[#This Row],[İade Miktarı]]/Table1[[#This Row],[Satış Miktarı]]</f>
        <v>3.5714285714285712E-2</v>
      </c>
      <c r="I129" t="s">
        <v>18</v>
      </c>
      <c r="J129">
        <v>46</v>
      </c>
      <c r="K129">
        <f>Table1[[#This Row],[Satış Miktarı]]*Table1[[#This Row],[Satış Fiyatı]]</f>
        <v>59248</v>
      </c>
      <c r="L129" t="s">
        <v>19</v>
      </c>
      <c r="M129" t="s">
        <v>74</v>
      </c>
      <c r="N129" t="s">
        <v>76</v>
      </c>
      <c r="O129">
        <v>0.2</v>
      </c>
      <c r="P129" t="s">
        <v>27</v>
      </c>
      <c r="Q129" t="s">
        <v>28</v>
      </c>
    </row>
    <row r="130" spans="1:17">
      <c r="A130">
        <v>502464557</v>
      </c>
      <c r="B130" t="s">
        <v>49</v>
      </c>
      <c r="C130" t="s">
        <v>34</v>
      </c>
      <c r="D130" s="1">
        <v>48010</v>
      </c>
      <c r="E130">
        <v>4396</v>
      </c>
      <c r="F130">
        <v>17</v>
      </c>
      <c r="G130" s="2">
        <v>3.8999999999999998E-3</v>
      </c>
      <c r="H130" s="2">
        <f>Table1[[#This Row],[İade Miktarı]]/Table1[[#This Row],[Satış Miktarı]]</f>
        <v>3.8671519563239307E-3</v>
      </c>
      <c r="I130" t="s">
        <v>18</v>
      </c>
      <c r="J130">
        <v>43</v>
      </c>
      <c r="K130">
        <f>Table1[[#This Row],[Satış Miktarı]]*Table1[[#This Row],[Satış Fiyatı]]</f>
        <v>189028</v>
      </c>
      <c r="L130" t="s">
        <v>19</v>
      </c>
      <c r="M130" t="s">
        <v>20</v>
      </c>
      <c r="N130" t="s">
        <v>26</v>
      </c>
      <c r="O130">
        <v>0.2</v>
      </c>
      <c r="P130" t="s">
        <v>27</v>
      </c>
      <c r="Q130" t="s">
        <v>83</v>
      </c>
    </row>
    <row r="131" spans="1:17">
      <c r="A131">
        <v>673071606</v>
      </c>
      <c r="B131" t="s">
        <v>51</v>
      </c>
      <c r="C131" t="s">
        <v>17</v>
      </c>
      <c r="D131" s="1">
        <v>48043</v>
      </c>
      <c r="E131">
        <v>3192</v>
      </c>
      <c r="F131">
        <v>32</v>
      </c>
      <c r="G131" s="2">
        <v>0.01</v>
      </c>
      <c r="H131" s="2">
        <f>Table1[[#This Row],[İade Miktarı]]/Table1[[#This Row],[Satış Miktarı]]</f>
        <v>1.0025062656641603E-2</v>
      </c>
      <c r="I131" t="s">
        <v>18</v>
      </c>
      <c r="J131">
        <v>23</v>
      </c>
      <c r="K131">
        <f>Table1[[#This Row],[Satış Miktarı]]*Table1[[#This Row],[Satış Fiyatı]]</f>
        <v>73416</v>
      </c>
      <c r="L131" t="s">
        <v>19</v>
      </c>
      <c r="M131" t="s">
        <v>25</v>
      </c>
      <c r="N131" t="s">
        <v>78</v>
      </c>
      <c r="O131">
        <v>0.2</v>
      </c>
      <c r="P131" t="s">
        <v>27</v>
      </c>
      <c r="Q131" t="s">
        <v>69</v>
      </c>
    </row>
    <row r="132" spans="1:17">
      <c r="A132">
        <v>589743272</v>
      </c>
      <c r="B132" t="s">
        <v>54</v>
      </c>
      <c r="C132" t="s">
        <v>34</v>
      </c>
      <c r="D132" s="1">
        <v>47945</v>
      </c>
      <c r="E132">
        <v>2809</v>
      </c>
      <c r="F132">
        <v>14</v>
      </c>
      <c r="G132" s="2">
        <v>5.0000000000000001E-3</v>
      </c>
      <c r="H132" s="2">
        <f>Table1[[#This Row],[İade Miktarı]]/Table1[[#This Row],[Satış Miktarı]]</f>
        <v>4.9839800640797439E-3</v>
      </c>
      <c r="I132" t="s">
        <v>18</v>
      </c>
      <c r="J132">
        <v>43</v>
      </c>
      <c r="K132">
        <f>Table1[[#This Row],[Satış Miktarı]]*Table1[[#This Row],[Satış Fiyatı]]</f>
        <v>120787</v>
      </c>
      <c r="L132" t="s">
        <v>19</v>
      </c>
      <c r="M132" t="s">
        <v>30</v>
      </c>
      <c r="N132" t="s">
        <v>47</v>
      </c>
      <c r="O132">
        <v>0.2</v>
      </c>
      <c r="P132" t="s">
        <v>27</v>
      </c>
      <c r="Q132" t="s">
        <v>84</v>
      </c>
    </row>
    <row r="133" spans="1:17">
      <c r="A133">
        <v>737998492</v>
      </c>
      <c r="B133" t="s">
        <v>57</v>
      </c>
      <c r="C133" t="s">
        <v>34</v>
      </c>
      <c r="D133" s="1">
        <v>48235</v>
      </c>
      <c r="E133">
        <v>4787</v>
      </c>
      <c r="F133">
        <v>43</v>
      </c>
      <c r="G133" s="2">
        <v>8.9999999999999993E-3</v>
      </c>
      <c r="H133" s="2">
        <f>Table1[[#This Row],[İade Miktarı]]/Table1[[#This Row],[Satış Miktarı]]</f>
        <v>8.9826613745560887E-3</v>
      </c>
      <c r="I133" t="s">
        <v>18</v>
      </c>
      <c r="J133">
        <v>33</v>
      </c>
      <c r="K133">
        <f>Table1[[#This Row],[Satış Miktarı]]*Table1[[#This Row],[Satış Fiyatı]]</f>
        <v>157971</v>
      </c>
      <c r="L133" t="s">
        <v>19</v>
      </c>
      <c r="M133" t="s">
        <v>35</v>
      </c>
      <c r="N133" t="s">
        <v>26</v>
      </c>
      <c r="O133">
        <v>0.2</v>
      </c>
      <c r="P133" t="s">
        <v>27</v>
      </c>
      <c r="Q133" t="s">
        <v>62</v>
      </c>
    </row>
    <row r="134" spans="1:17">
      <c r="A134">
        <v>162148496</v>
      </c>
      <c r="B134" t="s">
        <v>59</v>
      </c>
      <c r="C134" t="s">
        <v>17</v>
      </c>
      <c r="D134" s="1">
        <v>48437</v>
      </c>
      <c r="E134">
        <v>1672</v>
      </c>
      <c r="F134">
        <v>10</v>
      </c>
      <c r="G134" s="2">
        <v>6.0000000000000001E-3</v>
      </c>
      <c r="H134" s="2">
        <f>Table1[[#This Row],[İade Miktarı]]/Table1[[#This Row],[Satış Miktarı]]</f>
        <v>5.9808612440191387E-3</v>
      </c>
      <c r="I134" t="s">
        <v>18</v>
      </c>
      <c r="J134">
        <v>35</v>
      </c>
      <c r="K134">
        <f>Table1[[#This Row],[Satış Miktarı]]*Table1[[#This Row],[Satış Fiyatı]]</f>
        <v>58520</v>
      </c>
      <c r="L134" t="s">
        <v>19</v>
      </c>
      <c r="M134" t="s">
        <v>38</v>
      </c>
      <c r="N134" t="s">
        <v>78</v>
      </c>
      <c r="O134">
        <v>0.2</v>
      </c>
      <c r="P134" t="s">
        <v>22</v>
      </c>
      <c r="Q134" t="s">
        <v>77</v>
      </c>
    </row>
    <row r="135" spans="1:17">
      <c r="A135">
        <v>35567432</v>
      </c>
      <c r="B135" t="s">
        <v>63</v>
      </c>
      <c r="C135" t="s">
        <v>17</v>
      </c>
      <c r="D135" s="1">
        <v>47774</v>
      </c>
      <c r="E135">
        <v>3318</v>
      </c>
      <c r="F135">
        <v>43</v>
      </c>
      <c r="G135" s="2">
        <v>1.2999999999999999E-2</v>
      </c>
      <c r="H135" s="2">
        <f>Table1[[#This Row],[İade Miktarı]]/Table1[[#This Row],[Satış Miktarı]]</f>
        <v>1.2959614225437011E-2</v>
      </c>
      <c r="I135" t="s">
        <v>18</v>
      </c>
      <c r="J135">
        <v>41</v>
      </c>
      <c r="K135">
        <f>Table1[[#This Row],[Satış Miktarı]]*Table1[[#This Row],[Satış Fiyatı]]</f>
        <v>136038</v>
      </c>
      <c r="L135" t="s">
        <v>19</v>
      </c>
      <c r="M135" t="s">
        <v>42</v>
      </c>
      <c r="N135" t="s">
        <v>31</v>
      </c>
      <c r="O135">
        <v>0.2</v>
      </c>
      <c r="P135" t="s">
        <v>27</v>
      </c>
      <c r="Q135" t="s">
        <v>48</v>
      </c>
    </row>
    <row r="136" spans="1:17">
      <c r="A136">
        <v>542819433</v>
      </c>
      <c r="B136" t="s">
        <v>29</v>
      </c>
      <c r="C136" t="s">
        <v>17</v>
      </c>
      <c r="D136" s="1">
        <v>47822</v>
      </c>
      <c r="E136">
        <v>4634</v>
      </c>
      <c r="F136">
        <v>16</v>
      </c>
      <c r="G136" s="2">
        <v>3.5000000000000001E-3</v>
      </c>
      <c r="H136" s="2">
        <f>Table1[[#This Row],[İade Miktarı]]/Table1[[#This Row],[Satış Miktarı]]</f>
        <v>3.4527406128614588E-3</v>
      </c>
      <c r="I136" t="s">
        <v>18</v>
      </c>
      <c r="J136">
        <v>45</v>
      </c>
      <c r="K136">
        <f>Table1[[#This Row],[Satış Miktarı]]*Table1[[#This Row],[Satış Fiyatı]]</f>
        <v>208530</v>
      </c>
      <c r="L136" t="s">
        <v>19</v>
      </c>
      <c r="M136" t="s">
        <v>46</v>
      </c>
      <c r="N136" t="s">
        <v>65</v>
      </c>
      <c r="O136">
        <v>0.2</v>
      </c>
      <c r="P136" t="s">
        <v>22</v>
      </c>
      <c r="Q136" t="s">
        <v>62</v>
      </c>
    </row>
    <row r="137" spans="1:17">
      <c r="A137">
        <v>563539732</v>
      </c>
      <c r="B137" t="s">
        <v>33</v>
      </c>
      <c r="C137" t="s">
        <v>34</v>
      </c>
      <c r="D137" s="1">
        <v>47660</v>
      </c>
      <c r="E137">
        <v>1278</v>
      </c>
      <c r="F137">
        <v>15</v>
      </c>
      <c r="G137" s="2">
        <v>1.17E-2</v>
      </c>
      <c r="H137" s="2">
        <f>Table1[[#This Row],[İade Miktarı]]/Table1[[#This Row],[Satış Miktarı]]</f>
        <v>1.1737089201877934E-2</v>
      </c>
      <c r="I137" t="s">
        <v>18</v>
      </c>
      <c r="J137">
        <v>22</v>
      </c>
      <c r="K137">
        <f>Table1[[#This Row],[Satış Miktarı]]*Table1[[#This Row],[Satış Fiyatı]]</f>
        <v>28116</v>
      </c>
      <c r="L137" t="s">
        <v>19</v>
      </c>
      <c r="M137" t="s">
        <v>46</v>
      </c>
      <c r="N137" t="s">
        <v>47</v>
      </c>
      <c r="O137">
        <v>0.2</v>
      </c>
      <c r="P137" t="s">
        <v>27</v>
      </c>
      <c r="Q137" t="s">
        <v>66</v>
      </c>
    </row>
    <row r="138" spans="1:17">
      <c r="A138">
        <v>863058587</v>
      </c>
      <c r="B138" t="s">
        <v>37</v>
      </c>
      <c r="C138" t="s">
        <v>34</v>
      </c>
      <c r="D138" s="1">
        <v>48535</v>
      </c>
      <c r="E138">
        <v>3288</v>
      </c>
      <c r="F138">
        <v>50</v>
      </c>
      <c r="G138" s="2">
        <v>1.52E-2</v>
      </c>
      <c r="H138" s="2">
        <f>Table1[[#This Row],[İade Miktarı]]/Table1[[#This Row],[Satış Miktarı]]</f>
        <v>1.5206812652068127E-2</v>
      </c>
      <c r="I138" t="s">
        <v>18</v>
      </c>
      <c r="J138">
        <v>29</v>
      </c>
      <c r="K138">
        <f>Table1[[#This Row],[Satış Miktarı]]*Table1[[#This Row],[Satış Fiyatı]]</f>
        <v>95352</v>
      </c>
      <c r="L138" t="s">
        <v>19</v>
      </c>
      <c r="M138" t="s">
        <v>52</v>
      </c>
      <c r="N138" t="s">
        <v>61</v>
      </c>
      <c r="O138">
        <v>0.2</v>
      </c>
      <c r="P138" t="s">
        <v>27</v>
      </c>
      <c r="Q138" t="s">
        <v>53</v>
      </c>
    </row>
    <row r="139" spans="1:17">
      <c r="A139">
        <v>454150223</v>
      </c>
      <c r="B139" t="s">
        <v>41</v>
      </c>
      <c r="C139" t="s">
        <v>17</v>
      </c>
      <c r="D139" s="1">
        <v>48513</v>
      </c>
      <c r="E139">
        <v>3040</v>
      </c>
      <c r="F139">
        <v>33</v>
      </c>
      <c r="G139" s="2">
        <v>1.09E-2</v>
      </c>
      <c r="H139" s="2">
        <f>Table1[[#This Row],[İade Miktarı]]/Table1[[#This Row],[Satış Miktarı]]</f>
        <v>1.0855263157894738E-2</v>
      </c>
      <c r="I139" t="s">
        <v>18</v>
      </c>
      <c r="J139">
        <v>38</v>
      </c>
      <c r="K139">
        <f>Table1[[#This Row],[Satış Miktarı]]*Table1[[#This Row],[Satış Fiyatı]]</f>
        <v>115520</v>
      </c>
      <c r="L139" t="s">
        <v>19</v>
      </c>
      <c r="M139" t="s">
        <v>55</v>
      </c>
      <c r="N139" t="s">
        <v>47</v>
      </c>
      <c r="O139">
        <v>0.2</v>
      </c>
      <c r="P139" t="s">
        <v>27</v>
      </c>
      <c r="Q139" t="s">
        <v>72</v>
      </c>
    </row>
    <row r="140" spans="1:17">
      <c r="A140">
        <v>932233219</v>
      </c>
      <c r="B140" t="s">
        <v>44</v>
      </c>
      <c r="C140" t="s">
        <v>17</v>
      </c>
      <c r="D140" s="1">
        <v>48354</v>
      </c>
      <c r="E140">
        <v>4132</v>
      </c>
      <c r="F140">
        <v>20</v>
      </c>
      <c r="G140" s="2">
        <v>4.7999999999999996E-3</v>
      </c>
      <c r="H140" s="2">
        <f>Table1[[#This Row],[İade Miktarı]]/Table1[[#This Row],[Satış Miktarı]]</f>
        <v>4.8402710551790898E-3</v>
      </c>
      <c r="I140" t="s">
        <v>18</v>
      </c>
      <c r="J140">
        <v>48</v>
      </c>
      <c r="K140">
        <f>Table1[[#This Row],[Satış Miktarı]]*Table1[[#This Row],[Satış Fiyatı]]</f>
        <v>198336</v>
      </c>
      <c r="L140" t="s">
        <v>19</v>
      </c>
      <c r="M140" t="s">
        <v>58</v>
      </c>
      <c r="N140" t="s">
        <v>39</v>
      </c>
      <c r="O140">
        <v>0.2</v>
      </c>
      <c r="P140" t="s">
        <v>27</v>
      </c>
      <c r="Q140" t="s">
        <v>84</v>
      </c>
    </row>
    <row r="141" spans="1:17">
      <c r="A141">
        <v>866341175</v>
      </c>
      <c r="B141" t="s">
        <v>49</v>
      </c>
      <c r="C141" t="s">
        <v>34</v>
      </c>
      <c r="D141" s="1">
        <v>47793</v>
      </c>
      <c r="E141">
        <v>3043</v>
      </c>
      <c r="F141">
        <v>13</v>
      </c>
      <c r="G141" s="2">
        <v>4.3E-3</v>
      </c>
      <c r="H141" s="2">
        <f>Table1[[#This Row],[İade Miktarı]]/Table1[[#This Row],[Satış Miktarı]]</f>
        <v>4.2720999014130793E-3</v>
      </c>
      <c r="I141" t="s">
        <v>18</v>
      </c>
      <c r="J141">
        <v>31</v>
      </c>
      <c r="K141">
        <f>Table1[[#This Row],[Satış Miktarı]]*Table1[[#This Row],[Satış Fiyatı]]</f>
        <v>94333</v>
      </c>
      <c r="L141" t="s">
        <v>19</v>
      </c>
      <c r="M141" t="s">
        <v>60</v>
      </c>
      <c r="N141" t="s">
        <v>31</v>
      </c>
      <c r="O141">
        <v>0.2</v>
      </c>
      <c r="P141" t="s">
        <v>27</v>
      </c>
      <c r="Q141" t="s">
        <v>36</v>
      </c>
    </row>
    <row r="142" spans="1:17">
      <c r="A142">
        <v>131807667</v>
      </c>
      <c r="B142" t="s">
        <v>51</v>
      </c>
      <c r="C142" t="s">
        <v>17</v>
      </c>
      <c r="D142" s="1">
        <v>48151</v>
      </c>
      <c r="E142">
        <v>4395</v>
      </c>
      <c r="F142">
        <v>10</v>
      </c>
      <c r="G142" s="2">
        <v>2.3E-3</v>
      </c>
      <c r="H142" s="2">
        <f>Table1[[#This Row],[İade Miktarı]]/Table1[[#This Row],[Satış Miktarı]]</f>
        <v>2.2753128555176336E-3</v>
      </c>
      <c r="I142" t="s">
        <v>18</v>
      </c>
      <c r="J142">
        <v>21</v>
      </c>
      <c r="K142">
        <f>Table1[[#This Row],[Satış Miktarı]]*Table1[[#This Row],[Satış Fiyatı]]</f>
        <v>92295</v>
      </c>
      <c r="L142" t="s">
        <v>19</v>
      </c>
      <c r="M142" t="s">
        <v>64</v>
      </c>
      <c r="N142" t="s">
        <v>50</v>
      </c>
      <c r="O142">
        <v>0.2</v>
      </c>
      <c r="P142" t="s">
        <v>27</v>
      </c>
      <c r="Q142" t="s">
        <v>84</v>
      </c>
    </row>
    <row r="143" spans="1:17">
      <c r="A143">
        <v>318023118</v>
      </c>
      <c r="B143" t="s">
        <v>54</v>
      </c>
      <c r="C143" t="s">
        <v>34</v>
      </c>
      <c r="D143" s="1">
        <v>48521</v>
      </c>
      <c r="E143">
        <v>2425</v>
      </c>
      <c r="F143">
        <v>49</v>
      </c>
      <c r="G143" s="2">
        <v>2.0199999999999999E-2</v>
      </c>
      <c r="H143" s="2">
        <f>Table1[[#This Row],[İade Miktarı]]/Table1[[#This Row],[Satış Miktarı]]</f>
        <v>2.0206185567010308E-2</v>
      </c>
      <c r="I143" t="s">
        <v>18</v>
      </c>
      <c r="J143">
        <v>35</v>
      </c>
      <c r="K143">
        <f>Table1[[#This Row],[Satış Miktarı]]*Table1[[#This Row],[Satış Fiyatı]]</f>
        <v>84875</v>
      </c>
      <c r="L143" t="s">
        <v>19</v>
      </c>
      <c r="M143" t="s">
        <v>68</v>
      </c>
      <c r="N143" t="s">
        <v>76</v>
      </c>
      <c r="O143">
        <v>0.2</v>
      </c>
      <c r="P143" t="s">
        <v>27</v>
      </c>
      <c r="Q143" t="s">
        <v>36</v>
      </c>
    </row>
    <row r="144" spans="1:17">
      <c r="A144">
        <v>303772740</v>
      </c>
      <c r="B144" t="s">
        <v>57</v>
      </c>
      <c r="C144" t="s">
        <v>34</v>
      </c>
      <c r="D144" s="1">
        <v>47773</v>
      </c>
      <c r="E144">
        <v>3327</v>
      </c>
      <c r="F144">
        <v>13</v>
      </c>
      <c r="G144" s="2">
        <v>3.8999999999999998E-3</v>
      </c>
      <c r="H144" s="2">
        <f>Table1[[#This Row],[İade Miktarı]]/Table1[[#This Row],[Satış Miktarı]]</f>
        <v>3.9074241058010221E-3</v>
      </c>
      <c r="I144" t="s">
        <v>45</v>
      </c>
      <c r="J144">
        <v>20</v>
      </c>
      <c r="K144">
        <f>Table1[[#This Row],[Satış Miktarı]]*Table1[[#This Row],[Satış Fiyatı]]</f>
        <v>66540</v>
      </c>
      <c r="L144" t="s">
        <v>19</v>
      </c>
      <c r="M144" t="s">
        <v>71</v>
      </c>
      <c r="N144" t="s">
        <v>26</v>
      </c>
      <c r="O144">
        <v>0.2</v>
      </c>
      <c r="P144" t="s">
        <v>27</v>
      </c>
      <c r="Q144" t="s">
        <v>62</v>
      </c>
    </row>
    <row r="145" spans="1:17">
      <c r="A145">
        <v>816680854</v>
      </c>
      <c r="B145" t="s">
        <v>59</v>
      </c>
      <c r="C145" t="s">
        <v>17</v>
      </c>
      <c r="D145" s="1">
        <v>47720</v>
      </c>
      <c r="E145">
        <v>1316</v>
      </c>
      <c r="F145">
        <v>47</v>
      </c>
      <c r="G145" s="2">
        <v>3.5700000000000003E-2</v>
      </c>
      <c r="H145" s="2">
        <f>Table1[[#This Row],[İade Miktarı]]/Table1[[#This Row],[Satış Miktarı]]</f>
        <v>3.5714285714285712E-2</v>
      </c>
      <c r="I145" t="s">
        <v>18</v>
      </c>
      <c r="J145">
        <v>27</v>
      </c>
      <c r="K145">
        <f>Table1[[#This Row],[Satış Miktarı]]*Table1[[#This Row],[Satış Fiyatı]]</f>
        <v>35532</v>
      </c>
      <c r="L145" t="s">
        <v>19</v>
      </c>
      <c r="M145" t="s">
        <v>74</v>
      </c>
      <c r="N145" t="s">
        <v>47</v>
      </c>
      <c r="O145">
        <v>0.2</v>
      </c>
      <c r="P145" t="s">
        <v>27</v>
      </c>
      <c r="Q145" t="s">
        <v>48</v>
      </c>
    </row>
    <row r="146" spans="1:17">
      <c r="A146">
        <v>744557357</v>
      </c>
      <c r="B146" t="s">
        <v>63</v>
      </c>
      <c r="C146" t="s">
        <v>17</v>
      </c>
      <c r="D146" s="1">
        <v>48131</v>
      </c>
      <c r="E146">
        <v>4544</v>
      </c>
      <c r="F146">
        <v>28</v>
      </c>
      <c r="G146" s="2">
        <v>6.1999999999999998E-3</v>
      </c>
      <c r="H146" s="2">
        <f>Table1[[#This Row],[İade Miktarı]]/Table1[[#This Row],[Satış Miktarı]]</f>
        <v>6.1619718309859151E-3</v>
      </c>
      <c r="I146" t="s">
        <v>18</v>
      </c>
      <c r="J146">
        <v>32</v>
      </c>
      <c r="K146">
        <f>Table1[[#This Row],[Satış Miktarı]]*Table1[[#This Row],[Satış Fiyatı]]</f>
        <v>145408</v>
      </c>
      <c r="L146" t="s">
        <v>19</v>
      </c>
      <c r="M146" t="s">
        <v>20</v>
      </c>
      <c r="N146" t="s">
        <v>50</v>
      </c>
      <c r="O146">
        <v>0.2</v>
      </c>
      <c r="P146" t="s">
        <v>27</v>
      </c>
      <c r="Q146" t="s">
        <v>48</v>
      </c>
    </row>
    <row r="147" spans="1:17">
      <c r="A147">
        <v>433523222</v>
      </c>
      <c r="B147" t="s">
        <v>67</v>
      </c>
      <c r="C147" t="s">
        <v>17</v>
      </c>
      <c r="D147" s="1">
        <v>48316</v>
      </c>
      <c r="E147">
        <v>4309</v>
      </c>
      <c r="F147">
        <v>16</v>
      </c>
      <c r="G147" s="2">
        <v>3.7000000000000002E-3</v>
      </c>
      <c r="H147" s="2">
        <f>Table1[[#This Row],[İade Miktarı]]/Table1[[#This Row],[Satış Miktarı]]</f>
        <v>3.7131585054537017E-3</v>
      </c>
      <c r="I147" t="s">
        <v>18</v>
      </c>
      <c r="J147">
        <v>34</v>
      </c>
      <c r="K147">
        <f>Table1[[#This Row],[Satış Miktarı]]*Table1[[#This Row],[Satış Fiyatı]]</f>
        <v>146506</v>
      </c>
      <c r="L147" t="s">
        <v>19</v>
      </c>
      <c r="M147" t="s">
        <v>25</v>
      </c>
      <c r="N147" t="s">
        <v>43</v>
      </c>
      <c r="O147">
        <v>0.2</v>
      </c>
      <c r="P147" t="s">
        <v>22</v>
      </c>
      <c r="Q147" t="s">
        <v>53</v>
      </c>
    </row>
    <row r="148" spans="1:17">
      <c r="A148">
        <v>989368696</v>
      </c>
      <c r="B148" t="s">
        <v>70</v>
      </c>
      <c r="C148" t="s">
        <v>17</v>
      </c>
      <c r="D148" s="1">
        <v>48346</v>
      </c>
      <c r="E148">
        <v>1139</v>
      </c>
      <c r="F148">
        <v>38</v>
      </c>
      <c r="G148" s="2">
        <v>3.3399999999999999E-2</v>
      </c>
      <c r="H148" s="2">
        <f>Table1[[#This Row],[İade Miktarı]]/Table1[[#This Row],[Satış Miktarı]]</f>
        <v>3.3362598770851626E-2</v>
      </c>
      <c r="I148" t="s">
        <v>18</v>
      </c>
      <c r="J148">
        <v>22</v>
      </c>
      <c r="K148">
        <f>Table1[[#This Row],[Satış Miktarı]]*Table1[[#This Row],[Satış Fiyatı]]</f>
        <v>25058</v>
      </c>
      <c r="L148" t="s">
        <v>19</v>
      </c>
      <c r="M148" t="s">
        <v>30</v>
      </c>
      <c r="N148" t="s">
        <v>78</v>
      </c>
      <c r="O148">
        <v>0.2</v>
      </c>
      <c r="P148" t="s">
        <v>22</v>
      </c>
      <c r="Q148" t="s">
        <v>66</v>
      </c>
    </row>
    <row r="149" spans="1:17">
      <c r="A149">
        <v>413811616</v>
      </c>
      <c r="B149" t="s">
        <v>73</v>
      </c>
      <c r="C149" t="s">
        <v>17</v>
      </c>
      <c r="D149" s="1">
        <v>47987</v>
      </c>
      <c r="E149">
        <v>3560</v>
      </c>
      <c r="F149">
        <v>24</v>
      </c>
      <c r="G149" s="2">
        <v>6.7000000000000002E-3</v>
      </c>
      <c r="H149" s="2">
        <f>Table1[[#This Row],[İade Miktarı]]/Table1[[#This Row],[Satış Miktarı]]</f>
        <v>6.7415730337078653E-3</v>
      </c>
      <c r="I149" t="s">
        <v>45</v>
      </c>
      <c r="J149">
        <v>23</v>
      </c>
      <c r="K149">
        <f>Table1[[#This Row],[Satış Miktarı]]*Table1[[#This Row],[Satış Fiyatı]]</f>
        <v>81880</v>
      </c>
      <c r="L149" t="s">
        <v>19</v>
      </c>
      <c r="M149" t="s">
        <v>35</v>
      </c>
      <c r="N149" t="s">
        <v>21</v>
      </c>
      <c r="O149">
        <v>0.2</v>
      </c>
      <c r="P149" t="s">
        <v>27</v>
      </c>
      <c r="Q149" t="s">
        <v>82</v>
      </c>
    </row>
    <row r="150" spans="1:17">
      <c r="A150">
        <v>865613442</v>
      </c>
      <c r="B150" t="s">
        <v>16</v>
      </c>
      <c r="C150" t="s">
        <v>17</v>
      </c>
      <c r="D150" s="1">
        <v>47590</v>
      </c>
      <c r="E150">
        <v>4809</v>
      </c>
      <c r="F150">
        <v>43</v>
      </c>
      <c r="G150" s="2">
        <v>8.8999999999999999E-3</v>
      </c>
      <c r="H150" s="2">
        <f>Table1[[#This Row],[İade Miktarı]]/Table1[[#This Row],[Satış Miktarı]]</f>
        <v>8.9415678935329587E-3</v>
      </c>
      <c r="I150" t="s">
        <v>18</v>
      </c>
      <c r="J150">
        <v>44</v>
      </c>
      <c r="K150">
        <f>Table1[[#This Row],[Satış Miktarı]]*Table1[[#This Row],[Satış Fiyatı]]</f>
        <v>211596</v>
      </c>
      <c r="L150" t="s">
        <v>19</v>
      </c>
      <c r="M150" t="s">
        <v>38</v>
      </c>
      <c r="N150" t="s">
        <v>26</v>
      </c>
      <c r="O150">
        <v>0.2</v>
      </c>
      <c r="P150" t="s">
        <v>22</v>
      </c>
      <c r="Q150" t="s">
        <v>53</v>
      </c>
    </row>
    <row r="151" spans="1:17">
      <c r="A151">
        <v>934091813</v>
      </c>
      <c r="B151" t="s">
        <v>24</v>
      </c>
      <c r="C151" t="s">
        <v>17</v>
      </c>
      <c r="D151" s="1">
        <v>47984</v>
      </c>
      <c r="E151">
        <v>4795</v>
      </c>
      <c r="F151">
        <v>24</v>
      </c>
      <c r="G151" s="2">
        <v>5.0000000000000001E-3</v>
      </c>
      <c r="H151" s="2">
        <f>Table1[[#This Row],[İade Miktarı]]/Table1[[#This Row],[Satış Miktarı]]</f>
        <v>5.0052137643378522E-3</v>
      </c>
      <c r="I151" t="s">
        <v>18</v>
      </c>
      <c r="J151">
        <v>48</v>
      </c>
      <c r="K151">
        <f>Table1[[#This Row],[Satış Miktarı]]*Table1[[#This Row],[Satış Fiyatı]]</f>
        <v>230160</v>
      </c>
      <c r="L151" t="s">
        <v>19</v>
      </c>
      <c r="M151" t="s">
        <v>42</v>
      </c>
      <c r="N151" t="s">
        <v>31</v>
      </c>
      <c r="O151">
        <v>0.2</v>
      </c>
      <c r="P151" t="s">
        <v>27</v>
      </c>
      <c r="Q151" t="s">
        <v>23</v>
      </c>
    </row>
    <row r="152" spans="1:17">
      <c r="A152">
        <v>32932035</v>
      </c>
      <c r="B152" t="s">
        <v>29</v>
      </c>
      <c r="C152" t="s">
        <v>17</v>
      </c>
      <c r="D152" s="1">
        <v>48457</v>
      </c>
      <c r="E152">
        <v>4030</v>
      </c>
      <c r="F152">
        <v>42</v>
      </c>
      <c r="G152" s="2">
        <v>1.04E-2</v>
      </c>
      <c r="H152" s="2">
        <f>Table1[[#This Row],[İade Miktarı]]/Table1[[#This Row],[Satış Miktarı]]</f>
        <v>1.0421836228287842E-2</v>
      </c>
      <c r="I152" t="s">
        <v>18</v>
      </c>
      <c r="J152">
        <v>28</v>
      </c>
      <c r="K152">
        <f>Table1[[#This Row],[Satış Miktarı]]*Table1[[#This Row],[Satış Fiyatı]]</f>
        <v>112840</v>
      </c>
      <c r="L152" t="s">
        <v>19</v>
      </c>
      <c r="M152" t="s">
        <v>46</v>
      </c>
      <c r="N152" t="s">
        <v>31</v>
      </c>
      <c r="O152">
        <v>0.2</v>
      </c>
      <c r="P152" t="s">
        <v>22</v>
      </c>
      <c r="Q152" t="s">
        <v>83</v>
      </c>
    </row>
    <row r="153" spans="1:17">
      <c r="A153">
        <v>499640965</v>
      </c>
      <c r="B153" t="s">
        <v>33</v>
      </c>
      <c r="C153" t="s">
        <v>34</v>
      </c>
      <c r="D153" s="1">
        <v>47538</v>
      </c>
      <c r="E153">
        <v>4193</v>
      </c>
      <c r="F153">
        <v>44</v>
      </c>
      <c r="G153" s="2">
        <v>1.0500000000000001E-2</v>
      </c>
      <c r="H153" s="2">
        <f>Table1[[#This Row],[İade Miktarı]]/Table1[[#This Row],[Satış Miktarı]]</f>
        <v>1.0493679942761746E-2</v>
      </c>
      <c r="I153" t="s">
        <v>18</v>
      </c>
      <c r="J153">
        <v>41</v>
      </c>
      <c r="K153">
        <f>Table1[[#This Row],[Satış Miktarı]]*Table1[[#This Row],[Satış Fiyatı]]</f>
        <v>171913</v>
      </c>
      <c r="L153" t="s">
        <v>19</v>
      </c>
      <c r="M153" t="s">
        <v>46</v>
      </c>
      <c r="N153" t="s">
        <v>47</v>
      </c>
      <c r="O153">
        <v>0.2</v>
      </c>
      <c r="P153" t="s">
        <v>27</v>
      </c>
      <c r="Q153" t="s">
        <v>80</v>
      </c>
    </row>
    <row r="154" spans="1:17">
      <c r="A154">
        <v>45791235</v>
      </c>
      <c r="B154" t="s">
        <v>37</v>
      </c>
      <c r="C154" t="s">
        <v>34</v>
      </c>
      <c r="D154" s="1">
        <v>47664</v>
      </c>
      <c r="E154">
        <v>2352</v>
      </c>
      <c r="F154">
        <v>37</v>
      </c>
      <c r="G154" s="2">
        <v>1.5699999999999999E-2</v>
      </c>
      <c r="H154" s="2">
        <f>Table1[[#This Row],[İade Miktarı]]/Table1[[#This Row],[Satış Miktarı]]</f>
        <v>1.5731292517006803E-2</v>
      </c>
      <c r="I154" t="s">
        <v>18</v>
      </c>
      <c r="J154">
        <v>22</v>
      </c>
      <c r="K154">
        <f>Table1[[#This Row],[Satış Miktarı]]*Table1[[#This Row],[Satış Fiyatı]]</f>
        <v>51744</v>
      </c>
      <c r="L154" t="s">
        <v>19</v>
      </c>
      <c r="M154" t="s">
        <v>52</v>
      </c>
      <c r="N154" t="s">
        <v>50</v>
      </c>
      <c r="O154">
        <v>0.2</v>
      </c>
      <c r="P154" t="s">
        <v>27</v>
      </c>
      <c r="Q154" t="s">
        <v>79</v>
      </c>
    </row>
    <row r="155" spans="1:17">
      <c r="A155">
        <v>891240939</v>
      </c>
      <c r="B155" t="s">
        <v>41</v>
      </c>
      <c r="C155" t="s">
        <v>17</v>
      </c>
      <c r="D155" s="1">
        <v>48465</v>
      </c>
      <c r="E155">
        <v>3020</v>
      </c>
      <c r="F155">
        <v>45</v>
      </c>
      <c r="G155" s="2">
        <v>1.49E-2</v>
      </c>
      <c r="H155" s="2">
        <f>Table1[[#This Row],[İade Miktarı]]/Table1[[#This Row],[Satış Miktarı]]</f>
        <v>1.4900662251655629E-2</v>
      </c>
      <c r="I155" t="s">
        <v>18</v>
      </c>
      <c r="J155">
        <v>48</v>
      </c>
      <c r="K155">
        <f>Table1[[#This Row],[Satış Miktarı]]*Table1[[#This Row],[Satış Fiyatı]]</f>
        <v>144960</v>
      </c>
      <c r="L155" t="s">
        <v>19</v>
      </c>
      <c r="M155" t="s">
        <v>55</v>
      </c>
      <c r="N155" t="s">
        <v>31</v>
      </c>
      <c r="O155">
        <v>0.2</v>
      </c>
      <c r="P155" t="s">
        <v>27</v>
      </c>
      <c r="Q155" t="s">
        <v>62</v>
      </c>
    </row>
    <row r="156" spans="1:17">
      <c r="A156">
        <v>292510700</v>
      </c>
      <c r="B156" t="s">
        <v>44</v>
      </c>
      <c r="C156" t="s">
        <v>17</v>
      </c>
      <c r="D156" s="1">
        <v>48286</v>
      </c>
      <c r="E156">
        <v>4569</v>
      </c>
      <c r="F156">
        <v>42</v>
      </c>
      <c r="G156" s="2">
        <v>9.1999999999999998E-3</v>
      </c>
      <c r="H156" s="2">
        <f>Table1[[#This Row],[İade Miktarı]]/Table1[[#This Row],[Satış Miktarı]]</f>
        <v>9.1923834537097834E-3</v>
      </c>
      <c r="I156" t="s">
        <v>18</v>
      </c>
      <c r="J156">
        <v>40</v>
      </c>
      <c r="K156">
        <f>Table1[[#This Row],[Satış Miktarı]]*Table1[[#This Row],[Satış Fiyatı]]</f>
        <v>182760</v>
      </c>
      <c r="L156" t="s">
        <v>19</v>
      </c>
      <c r="M156" t="s">
        <v>58</v>
      </c>
      <c r="N156" t="s">
        <v>47</v>
      </c>
      <c r="O156">
        <v>0.2</v>
      </c>
      <c r="P156" t="s">
        <v>22</v>
      </c>
      <c r="Q156" t="s">
        <v>62</v>
      </c>
    </row>
    <row r="157" spans="1:17">
      <c r="A157">
        <v>303700032</v>
      </c>
      <c r="B157" t="s">
        <v>49</v>
      </c>
      <c r="C157" t="s">
        <v>34</v>
      </c>
      <c r="D157" s="1">
        <v>47848</v>
      </c>
      <c r="E157">
        <v>2317</v>
      </c>
      <c r="F157">
        <v>19</v>
      </c>
      <c r="G157" s="2">
        <v>8.2000000000000007E-3</v>
      </c>
      <c r="H157" s="2">
        <f>Table1[[#This Row],[İade Miktarı]]/Table1[[#This Row],[Satış Miktarı]]</f>
        <v>8.2002589555459655E-3</v>
      </c>
      <c r="I157" t="s">
        <v>18</v>
      </c>
      <c r="J157">
        <v>41</v>
      </c>
      <c r="K157">
        <f>Table1[[#This Row],[Satış Miktarı]]*Table1[[#This Row],[Satış Fiyatı]]</f>
        <v>94997</v>
      </c>
      <c r="L157" t="s">
        <v>19</v>
      </c>
      <c r="M157" t="s">
        <v>60</v>
      </c>
      <c r="N157" t="s">
        <v>31</v>
      </c>
      <c r="O157">
        <v>0.2</v>
      </c>
      <c r="P157" t="s">
        <v>27</v>
      </c>
      <c r="Q157" t="s">
        <v>72</v>
      </c>
    </row>
    <row r="158" spans="1:17">
      <c r="A158">
        <v>15818414</v>
      </c>
      <c r="B158" t="s">
        <v>51</v>
      </c>
      <c r="C158" t="s">
        <v>17</v>
      </c>
      <c r="D158" s="1">
        <v>48129</v>
      </c>
      <c r="E158">
        <v>1800</v>
      </c>
      <c r="F158">
        <v>30</v>
      </c>
      <c r="G158" s="2">
        <v>1.67E-2</v>
      </c>
      <c r="H158" s="2">
        <f>Table1[[#This Row],[İade Miktarı]]/Table1[[#This Row],[Satış Miktarı]]</f>
        <v>1.6666666666666666E-2</v>
      </c>
      <c r="I158" t="s">
        <v>18</v>
      </c>
      <c r="J158">
        <v>36</v>
      </c>
      <c r="K158">
        <f>Table1[[#This Row],[Satış Miktarı]]*Table1[[#This Row],[Satış Fiyatı]]</f>
        <v>64800</v>
      </c>
      <c r="L158" t="s">
        <v>19</v>
      </c>
      <c r="M158" t="s">
        <v>64</v>
      </c>
      <c r="N158" t="s">
        <v>47</v>
      </c>
      <c r="O158">
        <v>0.2</v>
      </c>
      <c r="P158" t="s">
        <v>27</v>
      </c>
      <c r="Q158" t="s">
        <v>77</v>
      </c>
    </row>
    <row r="159" spans="1:17">
      <c r="A159">
        <v>588210732</v>
      </c>
      <c r="B159" t="s">
        <v>54</v>
      </c>
      <c r="C159" t="s">
        <v>34</v>
      </c>
      <c r="D159" s="1">
        <v>48409</v>
      </c>
      <c r="E159">
        <v>3301</v>
      </c>
      <c r="F159">
        <v>15</v>
      </c>
      <c r="G159" s="2">
        <v>4.4999999999999997E-3</v>
      </c>
      <c r="H159" s="2">
        <f>Table1[[#This Row],[İade Miktarı]]/Table1[[#This Row],[Satış Miktarı]]</f>
        <v>4.5440775522568918E-3</v>
      </c>
      <c r="I159" t="s">
        <v>18</v>
      </c>
      <c r="J159">
        <v>48</v>
      </c>
      <c r="K159">
        <f>Table1[[#This Row],[Satış Miktarı]]*Table1[[#This Row],[Satış Fiyatı]]</f>
        <v>158448</v>
      </c>
      <c r="L159" t="s">
        <v>19</v>
      </c>
      <c r="M159" t="s">
        <v>68</v>
      </c>
      <c r="N159" t="s">
        <v>31</v>
      </c>
      <c r="O159">
        <v>0.2</v>
      </c>
      <c r="P159" t="s">
        <v>22</v>
      </c>
      <c r="Q159" t="s">
        <v>62</v>
      </c>
    </row>
    <row r="160" spans="1:17">
      <c r="A160">
        <v>673277260</v>
      </c>
      <c r="B160" t="s">
        <v>57</v>
      </c>
      <c r="C160" t="s">
        <v>34</v>
      </c>
      <c r="D160" s="1">
        <v>47621</v>
      </c>
      <c r="E160">
        <v>3729</v>
      </c>
      <c r="F160">
        <v>32</v>
      </c>
      <c r="G160" s="2">
        <v>8.6E-3</v>
      </c>
      <c r="H160" s="2">
        <f>Table1[[#This Row],[İade Miktarı]]/Table1[[#This Row],[Satış Miktarı]]</f>
        <v>8.5813891123625637E-3</v>
      </c>
      <c r="I160" t="s">
        <v>18</v>
      </c>
      <c r="J160">
        <v>37</v>
      </c>
      <c r="K160">
        <f>Table1[[#This Row],[Satış Miktarı]]*Table1[[#This Row],[Satış Fiyatı]]</f>
        <v>137973</v>
      </c>
      <c r="L160" t="s">
        <v>19</v>
      </c>
      <c r="M160" t="s">
        <v>71</v>
      </c>
      <c r="N160" t="s">
        <v>31</v>
      </c>
      <c r="O160">
        <v>0.2</v>
      </c>
      <c r="P160" t="s">
        <v>27</v>
      </c>
      <c r="Q160" t="s">
        <v>82</v>
      </c>
    </row>
    <row r="161" spans="1:17">
      <c r="A161">
        <v>472668913</v>
      </c>
      <c r="B161" t="s">
        <v>59</v>
      </c>
      <c r="C161" t="s">
        <v>17</v>
      </c>
      <c r="D161" s="1">
        <v>48561</v>
      </c>
      <c r="E161">
        <v>3920</v>
      </c>
      <c r="F161">
        <v>27</v>
      </c>
      <c r="G161" s="2">
        <v>6.8999999999999999E-3</v>
      </c>
      <c r="H161" s="2">
        <f>Table1[[#This Row],[İade Miktarı]]/Table1[[#This Row],[Satış Miktarı]]</f>
        <v>6.8877551020408165E-3</v>
      </c>
      <c r="I161" t="s">
        <v>18</v>
      </c>
      <c r="J161">
        <v>43</v>
      </c>
      <c r="K161">
        <f>Table1[[#This Row],[Satış Miktarı]]*Table1[[#This Row],[Satış Fiyatı]]</f>
        <v>168560</v>
      </c>
      <c r="L161" t="s">
        <v>19</v>
      </c>
      <c r="M161" t="s">
        <v>74</v>
      </c>
      <c r="N161" t="s">
        <v>39</v>
      </c>
      <c r="O161">
        <v>0.2</v>
      </c>
      <c r="P161" t="s">
        <v>27</v>
      </c>
      <c r="Q161" t="s">
        <v>32</v>
      </c>
    </row>
    <row r="162" spans="1:17">
      <c r="A162">
        <v>875201961</v>
      </c>
      <c r="B162" t="s">
        <v>63</v>
      </c>
      <c r="C162" t="s">
        <v>17</v>
      </c>
      <c r="D162" s="1">
        <v>48113</v>
      </c>
      <c r="E162">
        <v>2718</v>
      </c>
      <c r="F162">
        <v>22</v>
      </c>
      <c r="G162" s="2">
        <v>8.0999999999999996E-3</v>
      </c>
      <c r="H162" s="2">
        <f>Table1[[#This Row],[İade Miktarı]]/Table1[[#This Row],[Satış Miktarı]]</f>
        <v>8.0941869021339229E-3</v>
      </c>
      <c r="I162" t="s">
        <v>18</v>
      </c>
      <c r="J162">
        <v>42</v>
      </c>
      <c r="K162">
        <f>Table1[[#This Row],[Satış Miktarı]]*Table1[[#This Row],[Satış Fiyatı]]</f>
        <v>114156</v>
      </c>
      <c r="L162" t="s">
        <v>19</v>
      </c>
      <c r="M162" t="s">
        <v>20</v>
      </c>
      <c r="N162" t="s">
        <v>65</v>
      </c>
      <c r="O162">
        <v>0.2</v>
      </c>
      <c r="P162" t="s">
        <v>27</v>
      </c>
      <c r="Q162" t="s">
        <v>48</v>
      </c>
    </row>
    <row r="163" spans="1:17">
      <c r="A163">
        <v>117585161</v>
      </c>
      <c r="B163" t="s">
        <v>67</v>
      </c>
      <c r="C163" t="s">
        <v>17</v>
      </c>
      <c r="D163" s="1">
        <v>48458</v>
      </c>
      <c r="E163">
        <v>2382</v>
      </c>
      <c r="F163">
        <v>25</v>
      </c>
      <c r="G163" s="2">
        <v>1.0500000000000001E-2</v>
      </c>
      <c r="H163" s="2">
        <f>Table1[[#This Row],[İade Miktarı]]/Table1[[#This Row],[Satış Miktarı]]</f>
        <v>1.0495382031905962E-2</v>
      </c>
      <c r="I163" t="s">
        <v>18</v>
      </c>
      <c r="J163">
        <v>42</v>
      </c>
      <c r="K163">
        <f>Table1[[#This Row],[Satış Miktarı]]*Table1[[#This Row],[Satış Fiyatı]]</f>
        <v>100044</v>
      </c>
      <c r="L163" t="s">
        <v>19</v>
      </c>
      <c r="M163" t="s">
        <v>25</v>
      </c>
      <c r="N163" t="s">
        <v>61</v>
      </c>
      <c r="O163">
        <v>0.2</v>
      </c>
      <c r="P163" t="s">
        <v>27</v>
      </c>
      <c r="Q163" t="s">
        <v>48</v>
      </c>
    </row>
    <row r="164" spans="1:17">
      <c r="A164">
        <v>664280847</v>
      </c>
      <c r="B164" t="s">
        <v>70</v>
      </c>
      <c r="C164" t="s">
        <v>17</v>
      </c>
      <c r="D164" s="1">
        <v>47797</v>
      </c>
      <c r="E164">
        <v>4736</v>
      </c>
      <c r="F164">
        <v>24</v>
      </c>
      <c r="G164" s="2">
        <v>5.1000000000000004E-3</v>
      </c>
      <c r="H164" s="2">
        <f>Table1[[#This Row],[İade Miktarı]]/Table1[[#This Row],[Satış Miktarı]]</f>
        <v>5.0675675675675678E-3</v>
      </c>
      <c r="I164" t="s">
        <v>18</v>
      </c>
      <c r="J164">
        <v>42</v>
      </c>
      <c r="K164">
        <f>Table1[[#This Row],[Satış Miktarı]]*Table1[[#This Row],[Satış Fiyatı]]</f>
        <v>198912</v>
      </c>
      <c r="L164" t="s">
        <v>19</v>
      </c>
      <c r="M164" t="s">
        <v>30</v>
      </c>
      <c r="N164" t="s">
        <v>65</v>
      </c>
      <c r="O164">
        <v>0.2</v>
      </c>
      <c r="P164" t="s">
        <v>27</v>
      </c>
      <c r="Q164" t="s">
        <v>28</v>
      </c>
    </row>
    <row r="165" spans="1:17">
      <c r="A165">
        <v>897480248</v>
      </c>
      <c r="B165" t="s">
        <v>73</v>
      </c>
      <c r="C165" t="s">
        <v>17</v>
      </c>
      <c r="D165" s="1">
        <v>48556</v>
      </c>
      <c r="E165">
        <v>3961</v>
      </c>
      <c r="F165">
        <v>14</v>
      </c>
      <c r="G165" s="2">
        <v>3.5000000000000001E-3</v>
      </c>
      <c r="H165" s="2">
        <f>Table1[[#This Row],[İade Miktarı]]/Table1[[#This Row],[Satış Miktarı]]</f>
        <v>3.5344609946983086E-3</v>
      </c>
      <c r="I165" t="s">
        <v>18</v>
      </c>
      <c r="J165">
        <v>36</v>
      </c>
      <c r="K165">
        <f>Table1[[#This Row],[Satış Miktarı]]*Table1[[#This Row],[Satış Fiyatı]]</f>
        <v>142596</v>
      </c>
      <c r="L165" t="s">
        <v>19</v>
      </c>
      <c r="M165" t="s">
        <v>35</v>
      </c>
      <c r="N165" t="s">
        <v>65</v>
      </c>
      <c r="O165">
        <v>0.2</v>
      </c>
      <c r="P165" t="s">
        <v>22</v>
      </c>
      <c r="Q165" t="s">
        <v>83</v>
      </c>
    </row>
    <row r="166" spans="1:17">
      <c r="A166">
        <v>953844275</v>
      </c>
      <c r="B166" t="s">
        <v>16</v>
      </c>
      <c r="C166" t="s">
        <v>17</v>
      </c>
      <c r="D166" s="1">
        <v>48151</v>
      </c>
      <c r="E166">
        <v>1137</v>
      </c>
      <c r="F166">
        <v>50</v>
      </c>
      <c r="G166" s="2">
        <v>4.3999999999999997E-2</v>
      </c>
      <c r="H166" s="2">
        <f>Table1[[#This Row],[İade Miktarı]]/Table1[[#This Row],[Satış Miktarı]]</f>
        <v>4.3975373790677223E-2</v>
      </c>
      <c r="I166" t="s">
        <v>18</v>
      </c>
      <c r="J166">
        <v>30</v>
      </c>
      <c r="K166">
        <f>Table1[[#This Row],[Satış Miktarı]]*Table1[[#This Row],[Satış Fiyatı]]</f>
        <v>34110</v>
      </c>
      <c r="L166" t="s">
        <v>19</v>
      </c>
      <c r="M166" t="s">
        <v>38</v>
      </c>
      <c r="N166" t="s">
        <v>31</v>
      </c>
      <c r="O166">
        <v>0.2</v>
      </c>
      <c r="P166" t="s">
        <v>22</v>
      </c>
      <c r="Q166" t="s">
        <v>75</v>
      </c>
    </row>
    <row r="167" spans="1:17">
      <c r="A167">
        <v>363689534</v>
      </c>
      <c r="B167" t="s">
        <v>24</v>
      </c>
      <c r="C167" t="s">
        <v>17</v>
      </c>
      <c r="D167" s="1">
        <v>47953</v>
      </c>
      <c r="E167">
        <v>3661</v>
      </c>
      <c r="F167">
        <v>16</v>
      </c>
      <c r="G167" s="2">
        <v>4.4000000000000003E-3</v>
      </c>
      <c r="H167" s="2">
        <f>Table1[[#This Row],[İade Miktarı]]/Table1[[#This Row],[Satış Miktarı]]</f>
        <v>4.3703906036602017E-3</v>
      </c>
      <c r="I167" t="s">
        <v>18</v>
      </c>
      <c r="J167">
        <v>43</v>
      </c>
      <c r="K167">
        <f>Table1[[#This Row],[Satış Miktarı]]*Table1[[#This Row],[Satış Fiyatı]]</f>
        <v>157423</v>
      </c>
      <c r="L167" t="s">
        <v>19</v>
      </c>
      <c r="M167" t="s">
        <v>42</v>
      </c>
      <c r="N167" t="s">
        <v>61</v>
      </c>
      <c r="O167">
        <v>0.2</v>
      </c>
      <c r="P167" t="s">
        <v>22</v>
      </c>
      <c r="Q167" t="s">
        <v>66</v>
      </c>
    </row>
    <row r="168" spans="1:17">
      <c r="A168">
        <v>938486606</v>
      </c>
      <c r="B168" t="s">
        <v>29</v>
      </c>
      <c r="C168" t="s">
        <v>17</v>
      </c>
      <c r="D168" s="1">
        <v>48312</v>
      </c>
      <c r="E168">
        <v>3914</v>
      </c>
      <c r="F168">
        <v>24</v>
      </c>
      <c r="G168" s="2">
        <v>6.1000000000000004E-3</v>
      </c>
      <c r="H168" s="2">
        <f>Table1[[#This Row],[İade Miktarı]]/Table1[[#This Row],[Satış Miktarı]]</f>
        <v>6.1318344404701075E-3</v>
      </c>
      <c r="I168" t="s">
        <v>18</v>
      </c>
      <c r="J168">
        <v>27</v>
      </c>
      <c r="K168">
        <f>Table1[[#This Row],[Satış Miktarı]]*Table1[[#This Row],[Satış Fiyatı]]</f>
        <v>105678</v>
      </c>
      <c r="L168" t="s">
        <v>19</v>
      </c>
      <c r="M168" t="s">
        <v>46</v>
      </c>
      <c r="N168" t="s">
        <v>50</v>
      </c>
      <c r="O168">
        <v>0.2</v>
      </c>
      <c r="P168" t="s">
        <v>22</v>
      </c>
      <c r="Q168" t="s">
        <v>28</v>
      </c>
    </row>
    <row r="169" spans="1:17">
      <c r="A169">
        <v>571170312</v>
      </c>
      <c r="B169" t="s">
        <v>33</v>
      </c>
      <c r="C169" t="s">
        <v>34</v>
      </c>
      <c r="D169" s="1">
        <v>47677</v>
      </c>
      <c r="E169">
        <v>1733</v>
      </c>
      <c r="F169">
        <v>38</v>
      </c>
      <c r="G169" s="2">
        <v>2.1899999999999999E-2</v>
      </c>
      <c r="H169" s="2">
        <f>Table1[[#This Row],[İade Miktarı]]/Table1[[#This Row],[Satış Miktarı]]</f>
        <v>2.1927293710328911E-2</v>
      </c>
      <c r="I169" t="s">
        <v>81</v>
      </c>
      <c r="J169">
        <v>39</v>
      </c>
      <c r="K169">
        <f>Table1[[#This Row],[Satış Miktarı]]*Table1[[#This Row],[Satış Fiyatı]]</f>
        <v>67587</v>
      </c>
      <c r="L169" t="s">
        <v>19</v>
      </c>
      <c r="M169" t="s">
        <v>46</v>
      </c>
      <c r="N169" t="s">
        <v>50</v>
      </c>
      <c r="O169">
        <v>0.2</v>
      </c>
      <c r="P169" t="s">
        <v>22</v>
      </c>
      <c r="Q169" t="s">
        <v>77</v>
      </c>
    </row>
    <row r="170" spans="1:17">
      <c r="A170">
        <v>386593835</v>
      </c>
      <c r="B170" t="s">
        <v>37</v>
      </c>
      <c r="C170" t="s">
        <v>34</v>
      </c>
      <c r="D170" s="1">
        <v>48525</v>
      </c>
      <c r="E170">
        <v>4426</v>
      </c>
      <c r="F170">
        <v>41</v>
      </c>
      <c r="G170" s="2">
        <v>9.2999999999999992E-3</v>
      </c>
      <c r="H170" s="2">
        <f>Table1[[#This Row],[İade Miktarı]]/Table1[[#This Row],[Satış Miktarı]]</f>
        <v>9.2634432896520555E-3</v>
      </c>
      <c r="I170" t="s">
        <v>18</v>
      </c>
      <c r="J170">
        <v>38</v>
      </c>
      <c r="K170">
        <f>Table1[[#This Row],[Satış Miktarı]]*Table1[[#This Row],[Satış Fiyatı]]</f>
        <v>168188</v>
      </c>
      <c r="L170" t="s">
        <v>19</v>
      </c>
      <c r="M170" t="s">
        <v>52</v>
      </c>
      <c r="N170" t="s">
        <v>50</v>
      </c>
      <c r="O170">
        <v>0.2</v>
      </c>
      <c r="P170" t="s">
        <v>22</v>
      </c>
      <c r="Q170" t="s">
        <v>80</v>
      </c>
    </row>
    <row r="171" spans="1:17">
      <c r="A171">
        <v>791096474</v>
      </c>
      <c r="B171" t="s">
        <v>41</v>
      </c>
      <c r="C171" t="s">
        <v>17</v>
      </c>
      <c r="D171" s="1">
        <v>48156</v>
      </c>
      <c r="E171">
        <v>4493</v>
      </c>
      <c r="F171">
        <v>34</v>
      </c>
      <c r="G171" s="2">
        <v>7.6E-3</v>
      </c>
      <c r="H171" s="2">
        <f>Table1[[#This Row],[İade Miktarı]]/Table1[[#This Row],[Satış Miktarı]]</f>
        <v>7.5673269530380591E-3</v>
      </c>
      <c r="I171" t="s">
        <v>45</v>
      </c>
      <c r="J171">
        <v>49</v>
      </c>
      <c r="K171">
        <f>Table1[[#This Row],[Satış Miktarı]]*Table1[[#This Row],[Satış Fiyatı]]</f>
        <v>220157</v>
      </c>
      <c r="L171" t="s">
        <v>19</v>
      </c>
      <c r="M171" t="s">
        <v>55</v>
      </c>
      <c r="N171" t="s">
        <v>47</v>
      </c>
      <c r="O171">
        <v>0.2</v>
      </c>
      <c r="P171" t="s">
        <v>22</v>
      </c>
      <c r="Q171" t="s">
        <v>66</v>
      </c>
    </row>
    <row r="172" spans="1:17">
      <c r="A172">
        <v>207791251</v>
      </c>
      <c r="B172" t="s">
        <v>44</v>
      </c>
      <c r="C172" t="s">
        <v>17</v>
      </c>
      <c r="D172" s="1">
        <v>48312</v>
      </c>
      <c r="E172">
        <v>3370</v>
      </c>
      <c r="F172">
        <v>27</v>
      </c>
      <c r="G172" s="2">
        <v>8.0000000000000002E-3</v>
      </c>
      <c r="H172" s="2">
        <f>Table1[[#This Row],[İade Miktarı]]/Table1[[#This Row],[Satış Miktarı]]</f>
        <v>8.0118694362017809E-3</v>
      </c>
      <c r="I172" t="s">
        <v>18</v>
      </c>
      <c r="J172">
        <v>45</v>
      </c>
      <c r="K172">
        <f>Table1[[#This Row],[Satış Miktarı]]*Table1[[#This Row],[Satış Fiyatı]]</f>
        <v>151650</v>
      </c>
      <c r="L172" t="s">
        <v>19</v>
      </c>
      <c r="M172" t="s">
        <v>58</v>
      </c>
      <c r="N172" t="s">
        <v>31</v>
      </c>
      <c r="O172">
        <v>0.2</v>
      </c>
      <c r="P172" t="s">
        <v>22</v>
      </c>
      <c r="Q172" t="s">
        <v>32</v>
      </c>
    </row>
    <row r="173" spans="1:17">
      <c r="A173">
        <v>349853614</v>
      </c>
      <c r="B173" t="s">
        <v>49</v>
      </c>
      <c r="C173" t="s">
        <v>34</v>
      </c>
      <c r="D173" s="1">
        <v>47734</v>
      </c>
      <c r="E173">
        <v>3697</v>
      </c>
      <c r="F173">
        <v>33</v>
      </c>
      <c r="G173" s="2">
        <v>8.8999999999999999E-3</v>
      </c>
      <c r="H173" s="2">
        <f>Table1[[#This Row],[İade Miktarı]]/Table1[[#This Row],[Satış Miktarı]]</f>
        <v>8.9261563429807959E-3</v>
      </c>
      <c r="I173" t="s">
        <v>18</v>
      </c>
      <c r="J173">
        <v>35</v>
      </c>
      <c r="K173">
        <f>Table1[[#This Row],[Satış Miktarı]]*Table1[[#This Row],[Satış Fiyatı]]</f>
        <v>129395</v>
      </c>
      <c r="L173" t="s">
        <v>19</v>
      </c>
      <c r="M173" t="s">
        <v>60</v>
      </c>
      <c r="N173" t="s">
        <v>76</v>
      </c>
      <c r="O173">
        <v>0.2</v>
      </c>
      <c r="P173" t="s">
        <v>22</v>
      </c>
      <c r="Q173" t="s">
        <v>75</v>
      </c>
    </row>
    <row r="174" spans="1:17">
      <c r="A174">
        <v>854351783</v>
      </c>
      <c r="B174" t="s">
        <v>51</v>
      </c>
      <c r="C174" t="s">
        <v>17</v>
      </c>
      <c r="D174" s="1">
        <v>48282</v>
      </c>
      <c r="E174">
        <v>2879</v>
      </c>
      <c r="F174">
        <v>30</v>
      </c>
      <c r="G174" s="2">
        <v>1.04E-2</v>
      </c>
      <c r="H174" s="2">
        <f>Table1[[#This Row],[İade Miktarı]]/Table1[[#This Row],[Satış Miktarı]]</f>
        <v>1.0420284821118444E-2</v>
      </c>
      <c r="I174" t="s">
        <v>18</v>
      </c>
      <c r="J174">
        <v>41</v>
      </c>
      <c r="K174">
        <f>Table1[[#This Row],[Satış Miktarı]]*Table1[[#This Row],[Satış Fiyatı]]</f>
        <v>118039</v>
      </c>
      <c r="L174" t="s">
        <v>19</v>
      </c>
      <c r="M174" t="s">
        <v>64</v>
      </c>
      <c r="N174" t="s">
        <v>43</v>
      </c>
      <c r="O174">
        <v>0.2</v>
      </c>
      <c r="P174" t="s">
        <v>22</v>
      </c>
      <c r="Q174" t="s">
        <v>40</v>
      </c>
    </row>
    <row r="175" spans="1:17">
      <c r="A175">
        <v>10357555</v>
      </c>
      <c r="B175" t="s">
        <v>54</v>
      </c>
      <c r="C175" t="s">
        <v>34</v>
      </c>
      <c r="D175" s="1">
        <v>47903</v>
      </c>
      <c r="E175">
        <v>3675</v>
      </c>
      <c r="F175">
        <v>11</v>
      </c>
      <c r="G175" s="2">
        <v>3.0000000000000001E-3</v>
      </c>
      <c r="H175" s="2">
        <f>Table1[[#This Row],[İade Miktarı]]/Table1[[#This Row],[Satış Miktarı]]</f>
        <v>2.9931972789115648E-3</v>
      </c>
      <c r="I175" t="s">
        <v>18</v>
      </c>
      <c r="J175">
        <v>40</v>
      </c>
      <c r="K175">
        <f>Table1[[#This Row],[Satış Miktarı]]*Table1[[#This Row],[Satış Fiyatı]]</f>
        <v>147000</v>
      </c>
      <c r="L175" t="s">
        <v>19</v>
      </c>
      <c r="M175" t="s">
        <v>68</v>
      </c>
      <c r="N175" t="s">
        <v>78</v>
      </c>
      <c r="O175">
        <v>0.2</v>
      </c>
      <c r="P175" t="s">
        <v>27</v>
      </c>
      <c r="Q175" t="s">
        <v>82</v>
      </c>
    </row>
    <row r="176" spans="1:17">
      <c r="A176">
        <v>302779479</v>
      </c>
      <c r="B176" t="s">
        <v>57</v>
      </c>
      <c r="C176" t="s">
        <v>34</v>
      </c>
      <c r="D176" s="1">
        <v>48083</v>
      </c>
      <c r="E176">
        <v>1905</v>
      </c>
      <c r="F176">
        <v>47</v>
      </c>
      <c r="G176" s="2">
        <v>2.47E-2</v>
      </c>
      <c r="H176" s="2">
        <f>Table1[[#This Row],[İade Miktarı]]/Table1[[#This Row],[Satış Miktarı]]</f>
        <v>2.4671916010498687E-2</v>
      </c>
      <c r="I176" t="s">
        <v>18</v>
      </c>
      <c r="J176">
        <v>24</v>
      </c>
      <c r="K176">
        <f>Table1[[#This Row],[Satış Miktarı]]*Table1[[#This Row],[Satış Fiyatı]]</f>
        <v>45720</v>
      </c>
      <c r="L176" t="s">
        <v>19</v>
      </c>
      <c r="M176" t="s">
        <v>71</v>
      </c>
      <c r="N176" t="s">
        <v>50</v>
      </c>
      <c r="O176">
        <v>0.2</v>
      </c>
      <c r="P176" t="s">
        <v>22</v>
      </c>
      <c r="Q176" t="s">
        <v>82</v>
      </c>
    </row>
    <row r="177" spans="1:17">
      <c r="A177">
        <v>496987638</v>
      </c>
      <c r="B177" t="s">
        <v>59</v>
      </c>
      <c r="C177" t="s">
        <v>17</v>
      </c>
      <c r="D177" s="1">
        <v>47687</v>
      </c>
      <c r="E177">
        <v>1820</v>
      </c>
      <c r="F177">
        <v>13</v>
      </c>
      <c r="G177" s="2">
        <v>7.1000000000000004E-3</v>
      </c>
      <c r="H177" s="2">
        <f>Table1[[#This Row],[İade Miktarı]]/Table1[[#This Row],[Satış Miktarı]]</f>
        <v>7.1428571428571426E-3</v>
      </c>
      <c r="I177" t="s">
        <v>18</v>
      </c>
      <c r="J177">
        <v>32</v>
      </c>
      <c r="K177">
        <f>Table1[[#This Row],[Satış Miktarı]]*Table1[[#This Row],[Satış Fiyatı]]</f>
        <v>58240</v>
      </c>
      <c r="L177" t="s">
        <v>19</v>
      </c>
      <c r="M177" t="s">
        <v>74</v>
      </c>
      <c r="N177" t="s">
        <v>76</v>
      </c>
      <c r="O177">
        <v>0.2</v>
      </c>
      <c r="P177" t="s">
        <v>22</v>
      </c>
      <c r="Q177" t="s">
        <v>48</v>
      </c>
    </row>
    <row r="178" spans="1:17">
      <c r="A178">
        <v>833608993</v>
      </c>
      <c r="B178" t="s">
        <v>63</v>
      </c>
      <c r="C178" t="s">
        <v>17</v>
      </c>
      <c r="D178" s="1">
        <v>47718</v>
      </c>
      <c r="E178">
        <v>3619</v>
      </c>
      <c r="F178">
        <v>35</v>
      </c>
      <c r="G178" s="2">
        <v>9.7000000000000003E-3</v>
      </c>
      <c r="H178" s="2">
        <f>Table1[[#This Row],[İade Miktarı]]/Table1[[#This Row],[Satış Miktarı]]</f>
        <v>9.6711798839458421E-3</v>
      </c>
      <c r="I178" t="s">
        <v>18</v>
      </c>
      <c r="J178">
        <v>23</v>
      </c>
      <c r="K178">
        <f>Table1[[#This Row],[Satış Miktarı]]*Table1[[#This Row],[Satış Fiyatı]]</f>
        <v>83237</v>
      </c>
      <c r="L178" t="s">
        <v>19</v>
      </c>
      <c r="M178" t="s">
        <v>20</v>
      </c>
      <c r="N178" t="s">
        <v>31</v>
      </c>
      <c r="O178">
        <v>0.2</v>
      </c>
      <c r="P178" t="s">
        <v>27</v>
      </c>
      <c r="Q178" t="s">
        <v>32</v>
      </c>
    </row>
    <row r="179" spans="1:17">
      <c r="A179">
        <v>370066516</v>
      </c>
      <c r="B179" t="s">
        <v>29</v>
      </c>
      <c r="C179" t="s">
        <v>17</v>
      </c>
      <c r="D179" s="1">
        <v>47723</v>
      </c>
      <c r="E179">
        <v>2963</v>
      </c>
      <c r="F179">
        <v>21</v>
      </c>
      <c r="G179" s="2">
        <v>7.1000000000000004E-3</v>
      </c>
      <c r="H179" s="2">
        <f>Table1[[#This Row],[İade Miktarı]]/Table1[[#This Row],[Satış Miktarı]]</f>
        <v>7.0874114073574083E-3</v>
      </c>
      <c r="I179" t="s">
        <v>18</v>
      </c>
      <c r="J179">
        <v>41</v>
      </c>
      <c r="K179">
        <f>Table1[[#This Row],[Satış Miktarı]]*Table1[[#This Row],[Satış Fiyatı]]</f>
        <v>121483</v>
      </c>
      <c r="L179" t="s">
        <v>19</v>
      </c>
      <c r="M179" t="s">
        <v>25</v>
      </c>
      <c r="N179" t="s">
        <v>47</v>
      </c>
      <c r="O179">
        <v>0.2</v>
      </c>
      <c r="P179" t="s">
        <v>27</v>
      </c>
      <c r="Q179" t="s">
        <v>79</v>
      </c>
    </row>
    <row r="180" spans="1:17">
      <c r="A180">
        <v>76058008</v>
      </c>
      <c r="B180" t="s">
        <v>33</v>
      </c>
      <c r="C180" t="s">
        <v>34</v>
      </c>
      <c r="D180" s="1">
        <v>47881</v>
      </c>
      <c r="E180">
        <v>4495</v>
      </c>
      <c r="F180">
        <v>13</v>
      </c>
      <c r="G180" s="2">
        <v>2.8999999999999998E-3</v>
      </c>
      <c r="H180" s="2">
        <f>Table1[[#This Row],[İade Miktarı]]/Table1[[#This Row],[Satış Miktarı]]</f>
        <v>2.8921023359288096E-3</v>
      </c>
      <c r="I180" t="s">
        <v>18</v>
      </c>
      <c r="J180">
        <v>34</v>
      </c>
      <c r="K180">
        <f>Table1[[#This Row],[Satış Miktarı]]*Table1[[#This Row],[Satış Fiyatı]]</f>
        <v>152830</v>
      </c>
      <c r="L180" t="s">
        <v>19</v>
      </c>
      <c r="M180" t="s">
        <v>30</v>
      </c>
      <c r="N180" t="s">
        <v>26</v>
      </c>
      <c r="O180">
        <v>0.2</v>
      </c>
      <c r="P180" t="s">
        <v>22</v>
      </c>
      <c r="Q180" t="s">
        <v>72</v>
      </c>
    </row>
    <row r="181" spans="1:17">
      <c r="A181">
        <v>94287276</v>
      </c>
      <c r="B181" t="s">
        <v>37</v>
      </c>
      <c r="C181" t="s">
        <v>34</v>
      </c>
      <c r="D181" s="1">
        <v>47960</v>
      </c>
      <c r="E181">
        <v>1314</v>
      </c>
      <c r="F181">
        <v>26</v>
      </c>
      <c r="G181" s="2">
        <v>1.9800000000000002E-2</v>
      </c>
      <c r="H181" s="2">
        <f>Table1[[#This Row],[İade Miktarı]]/Table1[[#This Row],[Satış Miktarı]]</f>
        <v>1.9786910197869101E-2</v>
      </c>
      <c r="I181" t="s">
        <v>18</v>
      </c>
      <c r="J181">
        <v>27</v>
      </c>
      <c r="K181">
        <f>Table1[[#This Row],[Satış Miktarı]]*Table1[[#This Row],[Satış Fiyatı]]</f>
        <v>35478</v>
      </c>
      <c r="L181" t="s">
        <v>19</v>
      </c>
      <c r="M181" t="s">
        <v>35</v>
      </c>
      <c r="N181" t="s">
        <v>61</v>
      </c>
      <c r="O181">
        <v>0.2</v>
      </c>
      <c r="P181" t="s">
        <v>27</v>
      </c>
      <c r="Q181" t="s">
        <v>66</v>
      </c>
    </row>
    <row r="182" spans="1:17">
      <c r="A182">
        <v>93572022</v>
      </c>
      <c r="B182" t="s">
        <v>41</v>
      </c>
      <c r="C182" t="s">
        <v>17</v>
      </c>
      <c r="D182" s="1">
        <v>47564</v>
      </c>
      <c r="E182">
        <v>2613</v>
      </c>
      <c r="F182">
        <v>44</v>
      </c>
      <c r="G182" s="2">
        <v>1.6799999999999999E-2</v>
      </c>
      <c r="H182" s="2">
        <f>Table1[[#This Row],[İade Miktarı]]/Table1[[#This Row],[Satış Miktarı]]</f>
        <v>1.6838882510524303E-2</v>
      </c>
      <c r="I182" t="s">
        <v>18</v>
      </c>
      <c r="J182">
        <v>31</v>
      </c>
      <c r="K182">
        <f>Table1[[#This Row],[Satış Miktarı]]*Table1[[#This Row],[Satış Fiyatı]]</f>
        <v>81003</v>
      </c>
      <c r="L182" t="s">
        <v>19</v>
      </c>
      <c r="M182" t="s">
        <v>38</v>
      </c>
      <c r="N182" t="s">
        <v>47</v>
      </c>
      <c r="O182">
        <v>0.2</v>
      </c>
      <c r="P182" t="s">
        <v>22</v>
      </c>
      <c r="Q182" t="s">
        <v>75</v>
      </c>
    </row>
    <row r="183" spans="1:17">
      <c r="A183">
        <v>404765669</v>
      </c>
      <c r="B183" t="s">
        <v>44</v>
      </c>
      <c r="C183" t="s">
        <v>17</v>
      </c>
      <c r="D183" s="1">
        <v>48336</v>
      </c>
      <c r="E183">
        <v>3798</v>
      </c>
      <c r="F183">
        <v>35</v>
      </c>
      <c r="G183" s="2">
        <v>9.1999999999999998E-3</v>
      </c>
      <c r="H183" s="2">
        <f>Table1[[#This Row],[İade Miktarı]]/Table1[[#This Row],[Satış Miktarı]]</f>
        <v>9.2153765139547129E-3</v>
      </c>
      <c r="I183" t="s">
        <v>18</v>
      </c>
      <c r="J183">
        <v>23</v>
      </c>
      <c r="K183">
        <f>Table1[[#This Row],[Satış Miktarı]]*Table1[[#This Row],[Satış Fiyatı]]</f>
        <v>87354</v>
      </c>
      <c r="L183" t="s">
        <v>19</v>
      </c>
      <c r="M183" t="s">
        <v>42</v>
      </c>
      <c r="N183" t="s">
        <v>78</v>
      </c>
      <c r="O183">
        <v>0.2</v>
      </c>
      <c r="P183" t="s">
        <v>27</v>
      </c>
      <c r="Q183" t="s">
        <v>66</v>
      </c>
    </row>
    <row r="184" spans="1:17">
      <c r="A184">
        <v>976323545</v>
      </c>
      <c r="B184" t="s">
        <v>49</v>
      </c>
      <c r="C184" t="s">
        <v>34</v>
      </c>
      <c r="D184" s="1">
        <v>48191</v>
      </c>
      <c r="E184">
        <v>3663</v>
      </c>
      <c r="F184">
        <v>19</v>
      </c>
      <c r="G184" s="2">
        <v>5.1999999999999998E-3</v>
      </c>
      <c r="H184" s="2">
        <f>Table1[[#This Row],[İade Miktarı]]/Table1[[#This Row],[Satış Miktarı]]</f>
        <v>5.1870051870051871E-3</v>
      </c>
      <c r="I184" t="s">
        <v>18</v>
      </c>
      <c r="J184">
        <v>33</v>
      </c>
      <c r="K184">
        <f>Table1[[#This Row],[Satış Miktarı]]*Table1[[#This Row],[Satış Fiyatı]]</f>
        <v>120879</v>
      </c>
      <c r="L184" t="s">
        <v>19</v>
      </c>
      <c r="M184" t="s">
        <v>46</v>
      </c>
      <c r="N184" t="s">
        <v>78</v>
      </c>
      <c r="O184">
        <v>0.2</v>
      </c>
      <c r="P184" t="s">
        <v>22</v>
      </c>
      <c r="Q184" t="s">
        <v>36</v>
      </c>
    </row>
    <row r="185" spans="1:17">
      <c r="A185">
        <v>114481413</v>
      </c>
      <c r="B185" t="s">
        <v>51</v>
      </c>
      <c r="C185" t="s">
        <v>17</v>
      </c>
      <c r="D185" s="1">
        <v>47542</v>
      </c>
      <c r="E185">
        <v>2254</v>
      </c>
      <c r="F185">
        <v>17</v>
      </c>
      <c r="G185" s="2">
        <v>7.4999999999999997E-3</v>
      </c>
      <c r="H185" s="2">
        <f>Table1[[#This Row],[İade Miktarı]]/Table1[[#This Row],[Satış Miktarı]]</f>
        <v>7.5421472937000885E-3</v>
      </c>
      <c r="I185" t="s">
        <v>18</v>
      </c>
      <c r="J185">
        <v>30</v>
      </c>
      <c r="K185">
        <f>Table1[[#This Row],[Satış Miktarı]]*Table1[[#This Row],[Satış Fiyatı]]</f>
        <v>67620</v>
      </c>
      <c r="L185" t="s">
        <v>19</v>
      </c>
      <c r="M185" t="s">
        <v>46</v>
      </c>
      <c r="N185" t="s">
        <v>26</v>
      </c>
      <c r="O185">
        <v>0.2</v>
      </c>
      <c r="P185" t="s">
        <v>22</v>
      </c>
      <c r="Q185" t="s">
        <v>77</v>
      </c>
    </row>
    <row r="186" spans="1:17">
      <c r="A186">
        <v>761229323</v>
      </c>
      <c r="B186" t="s">
        <v>54</v>
      </c>
      <c r="C186" t="s">
        <v>34</v>
      </c>
      <c r="D186" s="1">
        <v>48441</v>
      </c>
      <c r="E186">
        <v>4609</v>
      </c>
      <c r="F186">
        <v>34</v>
      </c>
      <c r="G186" s="2">
        <v>7.4000000000000003E-3</v>
      </c>
      <c r="H186" s="2">
        <f>Table1[[#This Row],[İade Miktarı]]/Table1[[#This Row],[Satış Miktarı]]</f>
        <v>7.3768713386851816E-3</v>
      </c>
      <c r="I186" t="s">
        <v>18</v>
      </c>
      <c r="J186">
        <v>36</v>
      </c>
      <c r="K186">
        <f>Table1[[#This Row],[Satış Miktarı]]*Table1[[#This Row],[Satış Fiyatı]]</f>
        <v>165924</v>
      </c>
      <c r="L186" t="s">
        <v>19</v>
      </c>
      <c r="M186" t="s">
        <v>52</v>
      </c>
      <c r="N186" t="s">
        <v>21</v>
      </c>
      <c r="O186">
        <v>0.2</v>
      </c>
      <c r="P186" t="s">
        <v>22</v>
      </c>
      <c r="Q186" t="s">
        <v>79</v>
      </c>
    </row>
    <row r="187" spans="1:17">
      <c r="A187">
        <v>240481122</v>
      </c>
      <c r="B187" t="s">
        <v>57</v>
      </c>
      <c r="C187" t="s">
        <v>34</v>
      </c>
      <c r="D187" s="1">
        <v>48125</v>
      </c>
      <c r="E187">
        <v>1255</v>
      </c>
      <c r="F187">
        <v>49</v>
      </c>
      <c r="G187" s="2">
        <v>3.9E-2</v>
      </c>
      <c r="H187" s="2">
        <f>Table1[[#This Row],[İade Miktarı]]/Table1[[#This Row],[Satış Miktarı]]</f>
        <v>3.9043824701195218E-2</v>
      </c>
      <c r="I187" t="s">
        <v>45</v>
      </c>
      <c r="J187">
        <v>45</v>
      </c>
      <c r="K187">
        <f>Table1[[#This Row],[Satış Miktarı]]*Table1[[#This Row],[Satış Fiyatı]]</f>
        <v>56475</v>
      </c>
      <c r="L187" t="s">
        <v>19</v>
      </c>
      <c r="M187" t="s">
        <v>55</v>
      </c>
      <c r="N187" t="s">
        <v>50</v>
      </c>
      <c r="O187">
        <v>0.2</v>
      </c>
      <c r="P187" t="s">
        <v>22</v>
      </c>
      <c r="Q187" t="s">
        <v>75</v>
      </c>
    </row>
    <row r="188" spans="1:17">
      <c r="A188">
        <v>130130162</v>
      </c>
      <c r="B188" t="s">
        <v>59</v>
      </c>
      <c r="C188" t="s">
        <v>17</v>
      </c>
      <c r="D188" s="1">
        <v>48487</v>
      </c>
      <c r="E188">
        <v>1346</v>
      </c>
      <c r="F188">
        <v>44</v>
      </c>
      <c r="G188" s="2">
        <v>3.27E-2</v>
      </c>
      <c r="H188" s="2">
        <f>Table1[[#This Row],[İade Miktarı]]/Table1[[#This Row],[Satış Miktarı]]</f>
        <v>3.2689450222882617E-2</v>
      </c>
      <c r="I188" t="s">
        <v>18</v>
      </c>
      <c r="J188">
        <v>24</v>
      </c>
      <c r="K188">
        <f>Table1[[#This Row],[Satış Miktarı]]*Table1[[#This Row],[Satış Fiyatı]]</f>
        <v>32304</v>
      </c>
      <c r="L188" t="s">
        <v>19</v>
      </c>
      <c r="M188" t="s">
        <v>58</v>
      </c>
      <c r="N188" t="s">
        <v>61</v>
      </c>
      <c r="O188">
        <v>0.2</v>
      </c>
      <c r="P188" t="s">
        <v>22</v>
      </c>
      <c r="Q188" t="s">
        <v>62</v>
      </c>
    </row>
    <row r="189" spans="1:17">
      <c r="A189">
        <v>199544196</v>
      </c>
      <c r="B189" t="s">
        <v>63</v>
      </c>
      <c r="C189" t="s">
        <v>17</v>
      </c>
      <c r="D189" s="1">
        <v>48378</v>
      </c>
      <c r="E189">
        <v>1528</v>
      </c>
      <c r="F189">
        <v>36</v>
      </c>
      <c r="G189" s="2">
        <v>2.3599999999999999E-2</v>
      </c>
      <c r="H189" s="2">
        <f>Table1[[#This Row],[İade Miktarı]]/Table1[[#This Row],[Satış Miktarı]]</f>
        <v>2.356020942408377E-2</v>
      </c>
      <c r="I189" t="s">
        <v>18</v>
      </c>
      <c r="J189">
        <v>39</v>
      </c>
      <c r="K189">
        <f>Table1[[#This Row],[Satış Miktarı]]*Table1[[#This Row],[Satış Fiyatı]]</f>
        <v>59592</v>
      </c>
      <c r="L189" t="s">
        <v>19</v>
      </c>
      <c r="M189" t="s">
        <v>60</v>
      </c>
      <c r="N189" t="s">
        <v>43</v>
      </c>
      <c r="O189">
        <v>0.2</v>
      </c>
      <c r="P189" t="s">
        <v>22</v>
      </c>
      <c r="Q189" t="s">
        <v>23</v>
      </c>
    </row>
    <row r="190" spans="1:17">
      <c r="A190">
        <v>427939159</v>
      </c>
      <c r="B190" t="s">
        <v>67</v>
      </c>
      <c r="C190" t="s">
        <v>17</v>
      </c>
      <c r="D190" s="1">
        <v>48218</v>
      </c>
      <c r="E190">
        <v>2388</v>
      </c>
      <c r="F190">
        <v>43</v>
      </c>
      <c r="G190" s="2">
        <v>1.7999999999999999E-2</v>
      </c>
      <c r="H190" s="2">
        <f>Table1[[#This Row],[İade Miktarı]]/Table1[[#This Row],[Satış Miktarı]]</f>
        <v>1.8006700167504188E-2</v>
      </c>
      <c r="I190" t="s">
        <v>18</v>
      </c>
      <c r="J190">
        <v>43</v>
      </c>
      <c r="K190">
        <f>Table1[[#This Row],[Satış Miktarı]]*Table1[[#This Row],[Satış Fiyatı]]</f>
        <v>102684</v>
      </c>
      <c r="L190" t="s">
        <v>19</v>
      </c>
      <c r="M190" t="s">
        <v>64</v>
      </c>
      <c r="N190" t="s">
        <v>65</v>
      </c>
      <c r="O190">
        <v>0.2</v>
      </c>
      <c r="P190" t="s">
        <v>27</v>
      </c>
      <c r="Q190" t="s">
        <v>83</v>
      </c>
    </row>
    <row r="191" spans="1:17">
      <c r="A191">
        <v>259380121</v>
      </c>
      <c r="B191" t="s">
        <v>70</v>
      </c>
      <c r="C191" t="s">
        <v>17</v>
      </c>
      <c r="D191" s="1">
        <v>47768</v>
      </c>
      <c r="E191">
        <v>4014</v>
      </c>
      <c r="F191">
        <v>18</v>
      </c>
      <c r="G191" s="2">
        <v>4.4999999999999997E-3</v>
      </c>
      <c r="H191" s="2">
        <f>Table1[[#This Row],[İade Miktarı]]/Table1[[#This Row],[Satış Miktarı]]</f>
        <v>4.4843049327354259E-3</v>
      </c>
      <c r="I191" t="s">
        <v>18</v>
      </c>
      <c r="J191">
        <v>22</v>
      </c>
      <c r="K191">
        <f>Table1[[#This Row],[Satış Miktarı]]*Table1[[#This Row],[Satış Fiyatı]]</f>
        <v>88308</v>
      </c>
      <c r="L191" t="s">
        <v>19</v>
      </c>
      <c r="M191" t="s">
        <v>68</v>
      </c>
      <c r="N191" t="s">
        <v>43</v>
      </c>
      <c r="O191">
        <v>0.2</v>
      </c>
      <c r="P191" t="s">
        <v>27</v>
      </c>
      <c r="Q191" t="s">
        <v>69</v>
      </c>
    </row>
    <row r="192" spans="1:17">
      <c r="A192">
        <v>581267588</v>
      </c>
      <c r="B192" t="s">
        <v>73</v>
      </c>
      <c r="C192" t="s">
        <v>17</v>
      </c>
      <c r="D192" s="1">
        <v>48524</v>
      </c>
      <c r="E192">
        <v>3891</v>
      </c>
      <c r="F192">
        <v>47</v>
      </c>
      <c r="G192" s="2">
        <v>1.21E-2</v>
      </c>
      <c r="H192" s="2">
        <f>Table1[[#This Row],[İade Miktarı]]/Table1[[#This Row],[Satış Miktarı]]</f>
        <v>1.2079157029041377E-2</v>
      </c>
      <c r="I192" t="s">
        <v>18</v>
      </c>
      <c r="J192">
        <v>48</v>
      </c>
      <c r="K192">
        <f>Table1[[#This Row],[Satış Miktarı]]*Table1[[#This Row],[Satış Fiyatı]]</f>
        <v>186768</v>
      </c>
      <c r="L192" t="s">
        <v>19</v>
      </c>
      <c r="M192" t="s">
        <v>71</v>
      </c>
      <c r="N192" t="s">
        <v>31</v>
      </c>
      <c r="O192">
        <v>0.2</v>
      </c>
      <c r="P192" t="s">
        <v>22</v>
      </c>
      <c r="Q192" t="s">
        <v>75</v>
      </c>
    </row>
    <row r="193" spans="1:17">
      <c r="A193">
        <v>287188357</v>
      </c>
      <c r="B193" t="s">
        <v>16</v>
      </c>
      <c r="C193" t="s">
        <v>17</v>
      </c>
      <c r="D193" s="1">
        <v>47712</v>
      </c>
      <c r="E193">
        <v>4471</v>
      </c>
      <c r="F193">
        <v>38</v>
      </c>
      <c r="G193" s="2">
        <v>8.5000000000000006E-3</v>
      </c>
      <c r="H193" s="2">
        <f>Table1[[#This Row],[İade Miktarı]]/Table1[[#This Row],[Satış Miktarı]]</f>
        <v>8.4992171773652422E-3</v>
      </c>
      <c r="I193" t="s">
        <v>18</v>
      </c>
      <c r="J193">
        <v>34</v>
      </c>
      <c r="K193">
        <f>Table1[[#This Row],[Satış Miktarı]]*Table1[[#This Row],[Satış Fiyatı]]</f>
        <v>152014</v>
      </c>
      <c r="L193" t="s">
        <v>19</v>
      </c>
      <c r="M193" t="s">
        <v>74</v>
      </c>
      <c r="N193" t="s">
        <v>61</v>
      </c>
      <c r="O193">
        <v>0.2</v>
      </c>
      <c r="P193" t="s">
        <v>22</v>
      </c>
      <c r="Q193" t="s">
        <v>28</v>
      </c>
    </row>
    <row r="194" spans="1:17">
      <c r="A194">
        <v>199261152</v>
      </c>
      <c r="B194" t="s">
        <v>24</v>
      </c>
      <c r="C194" t="s">
        <v>17</v>
      </c>
      <c r="D194" s="1">
        <v>47583</v>
      </c>
      <c r="E194">
        <v>1513</v>
      </c>
      <c r="F194">
        <v>14</v>
      </c>
      <c r="G194" s="2">
        <v>9.2999999999999992E-3</v>
      </c>
      <c r="H194" s="2">
        <f>Table1[[#This Row],[İade Miktarı]]/Table1[[#This Row],[Satış Miktarı]]</f>
        <v>9.253139458030404E-3</v>
      </c>
      <c r="I194" t="s">
        <v>18</v>
      </c>
      <c r="J194">
        <v>22</v>
      </c>
      <c r="K194">
        <f>Table1[[#This Row],[Satış Miktarı]]*Table1[[#This Row],[Satış Fiyatı]]</f>
        <v>33286</v>
      </c>
      <c r="L194" t="s">
        <v>19</v>
      </c>
      <c r="M194" t="s">
        <v>20</v>
      </c>
      <c r="N194" t="s">
        <v>39</v>
      </c>
      <c r="O194">
        <v>0.2</v>
      </c>
      <c r="P194" t="s">
        <v>22</v>
      </c>
      <c r="Q194" t="s">
        <v>84</v>
      </c>
    </row>
    <row r="195" spans="1:17">
      <c r="A195">
        <v>339035875</v>
      </c>
      <c r="B195" t="s">
        <v>29</v>
      </c>
      <c r="C195" t="s">
        <v>17</v>
      </c>
      <c r="D195" s="1">
        <v>48286</v>
      </c>
      <c r="E195">
        <v>2109</v>
      </c>
      <c r="F195">
        <v>18</v>
      </c>
      <c r="G195" s="2">
        <v>8.5000000000000006E-3</v>
      </c>
      <c r="H195" s="2">
        <f>Table1[[#This Row],[İade Miktarı]]/Table1[[#This Row],[Satış Miktarı]]</f>
        <v>8.5348506401137988E-3</v>
      </c>
      <c r="I195" t="s">
        <v>18</v>
      </c>
      <c r="J195">
        <v>27</v>
      </c>
      <c r="K195">
        <f>Table1[[#This Row],[Satış Miktarı]]*Table1[[#This Row],[Satış Fiyatı]]</f>
        <v>56943</v>
      </c>
      <c r="L195" t="s">
        <v>19</v>
      </c>
      <c r="M195" t="s">
        <v>25</v>
      </c>
      <c r="N195" t="s">
        <v>39</v>
      </c>
      <c r="O195">
        <v>0.2</v>
      </c>
      <c r="P195" t="s">
        <v>22</v>
      </c>
      <c r="Q195" t="s">
        <v>82</v>
      </c>
    </row>
    <row r="196" spans="1:17">
      <c r="A196">
        <v>870214267</v>
      </c>
      <c r="B196" t="s">
        <v>33</v>
      </c>
      <c r="C196" t="s">
        <v>34</v>
      </c>
      <c r="D196" s="1">
        <v>48176</v>
      </c>
      <c r="E196">
        <v>4609</v>
      </c>
      <c r="F196">
        <v>14</v>
      </c>
      <c r="G196" s="2">
        <v>3.0000000000000001E-3</v>
      </c>
      <c r="H196" s="2">
        <f>Table1[[#This Row],[İade Miktarı]]/Table1[[#This Row],[Satış Miktarı]]</f>
        <v>3.0375352571056628E-3</v>
      </c>
      <c r="I196" t="s">
        <v>18</v>
      </c>
      <c r="J196">
        <v>22</v>
      </c>
      <c r="K196">
        <f>Table1[[#This Row],[Satış Miktarı]]*Table1[[#This Row],[Satış Fiyatı]]</f>
        <v>101398</v>
      </c>
      <c r="L196" t="s">
        <v>19</v>
      </c>
      <c r="M196" t="s">
        <v>30</v>
      </c>
      <c r="N196" t="s">
        <v>78</v>
      </c>
      <c r="O196">
        <v>0.2</v>
      </c>
      <c r="P196" t="s">
        <v>27</v>
      </c>
      <c r="Q196" t="s">
        <v>48</v>
      </c>
    </row>
    <row r="197" spans="1:17">
      <c r="A197">
        <v>896070755</v>
      </c>
      <c r="B197" t="s">
        <v>37</v>
      </c>
      <c r="C197" t="s">
        <v>34</v>
      </c>
      <c r="D197" s="1">
        <v>47581</v>
      </c>
      <c r="E197">
        <v>2185</v>
      </c>
      <c r="F197">
        <v>33</v>
      </c>
      <c r="G197" s="2">
        <v>1.5100000000000001E-2</v>
      </c>
      <c r="H197" s="2">
        <f>Table1[[#This Row],[İade Miktarı]]/Table1[[#This Row],[Satış Miktarı]]</f>
        <v>1.5102974828375287E-2</v>
      </c>
      <c r="I197" t="s">
        <v>18</v>
      </c>
      <c r="J197">
        <v>48</v>
      </c>
      <c r="K197">
        <f>Table1[[#This Row],[Satış Miktarı]]*Table1[[#This Row],[Satış Fiyatı]]</f>
        <v>104880</v>
      </c>
      <c r="L197" t="s">
        <v>19</v>
      </c>
      <c r="M197" t="s">
        <v>35</v>
      </c>
      <c r="N197" t="s">
        <v>78</v>
      </c>
      <c r="O197">
        <v>0.2</v>
      </c>
      <c r="P197" t="s">
        <v>27</v>
      </c>
      <c r="Q197" t="s">
        <v>82</v>
      </c>
    </row>
    <row r="198" spans="1:17">
      <c r="A198">
        <v>46912151</v>
      </c>
      <c r="B198" t="s">
        <v>41</v>
      </c>
      <c r="C198" t="s">
        <v>17</v>
      </c>
      <c r="D198" s="1">
        <v>47620</v>
      </c>
      <c r="E198">
        <v>4674</v>
      </c>
      <c r="F198">
        <v>50</v>
      </c>
      <c r="G198" s="2">
        <v>1.0699999999999999E-2</v>
      </c>
      <c r="H198" s="2">
        <f>Table1[[#This Row],[İade Miktarı]]/Table1[[#This Row],[Satış Miktarı]]</f>
        <v>1.069747539580659E-2</v>
      </c>
      <c r="I198" t="s">
        <v>18</v>
      </c>
      <c r="J198">
        <v>31</v>
      </c>
      <c r="K198">
        <f>Table1[[#This Row],[Satış Miktarı]]*Table1[[#This Row],[Satış Fiyatı]]</f>
        <v>144894</v>
      </c>
      <c r="L198" t="s">
        <v>19</v>
      </c>
      <c r="M198" t="s">
        <v>38</v>
      </c>
      <c r="N198" t="s">
        <v>78</v>
      </c>
      <c r="O198">
        <v>0.2</v>
      </c>
      <c r="P198" t="s">
        <v>22</v>
      </c>
      <c r="Q198" t="s">
        <v>82</v>
      </c>
    </row>
    <row r="199" spans="1:17">
      <c r="A199">
        <v>489021096</v>
      </c>
      <c r="B199" t="s">
        <v>44</v>
      </c>
      <c r="C199" t="s">
        <v>17</v>
      </c>
      <c r="D199" s="1">
        <v>48472</v>
      </c>
      <c r="E199">
        <v>1650</v>
      </c>
      <c r="F199">
        <v>37</v>
      </c>
      <c r="G199" s="2">
        <v>2.24E-2</v>
      </c>
      <c r="H199" s="2">
        <f>Table1[[#This Row],[İade Miktarı]]/Table1[[#This Row],[Satış Miktarı]]</f>
        <v>2.2424242424242423E-2</v>
      </c>
      <c r="I199" t="s">
        <v>18</v>
      </c>
      <c r="J199">
        <v>29</v>
      </c>
      <c r="K199">
        <f>Table1[[#This Row],[Satış Miktarı]]*Table1[[#This Row],[Satış Fiyatı]]</f>
        <v>47850</v>
      </c>
      <c r="L199" t="s">
        <v>19</v>
      </c>
      <c r="M199" t="s">
        <v>42</v>
      </c>
      <c r="N199" t="s">
        <v>61</v>
      </c>
      <c r="O199">
        <v>0.2</v>
      </c>
      <c r="P199" t="s">
        <v>27</v>
      </c>
      <c r="Q199" t="s">
        <v>83</v>
      </c>
    </row>
    <row r="200" spans="1:17">
      <c r="A200">
        <v>449012743</v>
      </c>
      <c r="B200" t="s">
        <v>49</v>
      </c>
      <c r="C200" t="s">
        <v>34</v>
      </c>
      <c r="D200" s="1">
        <v>48162</v>
      </c>
      <c r="E200">
        <v>3109</v>
      </c>
      <c r="F200">
        <v>39</v>
      </c>
      <c r="G200" s="2">
        <v>1.2500000000000001E-2</v>
      </c>
      <c r="H200" s="2">
        <f>Table1[[#This Row],[İade Miktarı]]/Table1[[#This Row],[Satış Miktarı]]</f>
        <v>1.2544226439369572E-2</v>
      </c>
      <c r="I200" t="s">
        <v>18</v>
      </c>
      <c r="J200">
        <v>39</v>
      </c>
      <c r="K200">
        <f>Table1[[#This Row],[Satış Miktarı]]*Table1[[#This Row],[Satış Fiyatı]]</f>
        <v>121251</v>
      </c>
      <c r="L200" t="s">
        <v>19</v>
      </c>
      <c r="M200" t="s">
        <v>46</v>
      </c>
      <c r="N200" t="s">
        <v>76</v>
      </c>
      <c r="O200">
        <v>0.2</v>
      </c>
      <c r="P200" t="s">
        <v>27</v>
      </c>
      <c r="Q200" t="s">
        <v>79</v>
      </c>
    </row>
    <row r="201" spans="1:17">
      <c r="A201">
        <v>514710715</v>
      </c>
      <c r="B201" t="s">
        <v>51</v>
      </c>
      <c r="C201" t="s">
        <v>17</v>
      </c>
      <c r="D201" s="1">
        <v>48116</v>
      </c>
      <c r="E201">
        <v>2377</v>
      </c>
      <c r="F201">
        <v>46</v>
      </c>
      <c r="G201" s="2">
        <v>1.9400000000000001E-2</v>
      </c>
      <c r="H201" s="2">
        <f>Table1[[#This Row],[İade Miktarı]]/Table1[[#This Row],[Satış Miktarı]]</f>
        <v>1.9352124526714348E-2</v>
      </c>
      <c r="I201" t="s">
        <v>18</v>
      </c>
      <c r="J201">
        <v>32</v>
      </c>
      <c r="K201">
        <f>Table1[[#This Row],[Satış Miktarı]]*Table1[[#This Row],[Satış Fiyatı]]</f>
        <v>76064</v>
      </c>
      <c r="L201" t="s">
        <v>19</v>
      </c>
      <c r="M201" t="s">
        <v>46</v>
      </c>
      <c r="N201" t="s">
        <v>65</v>
      </c>
      <c r="O201">
        <v>0.2</v>
      </c>
      <c r="P201" t="s">
        <v>22</v>
      </c>
      <c r="Q201" t="s">
        <v>80</v>
      </c>
    </row>
    <row r="202" spans="1:17">
      <c r="A202">
        <v>623067664</v>
      </c>
      <c r="B202" t="s">
        <v>54</v>
      </c>
      <c r="C202" t="s">
        <v>34</v>
      </c>
      <c r="D202" s="1">
        <v>48120</v>
      </c>
      <c r="E202">
        <v>2154</v>
      </c>
      <c r="F202">
        <v>14</v>
      </c>
      <c r="G202" s="2">
        <v>6.4999999999999997E-3</v>
      </c>
      <c r="H202" s="2">
        <f>Table1[[#This Row],[İade Miktarı]]/Table1[[#This Row],[Satış Miktarı]]</f>
        <v>6.4995357474466105E-3</v>
      </c>
      <c r="I202" t="s">
        <v>18</v>
      </c>
      <c r="J202">
        <v>29</v>
      </c>
      <c r="K202">
        <f>Table1[[#This Row],[Satış Miktarı]]*Table1[[#This Row],[Satış Fiyatı]]</f>
        <v>62466</v>
      </c>
      <c r="L202" t="s">
        <v>19</v>
      </c>
      <c r="M202" t="s">
        <v>52</v>
      </c>
      <c r="N202" t="s">
        <v>47</v>
      </c>
      <c r="O202">
        <v>0.2</v>
      </c>
      <c r="P202" t="s">
        <v>27</v>
      </c>
      <c r="Q202" t="s">
        <v>56</v>
      </c>
    </row>
    <row r="203" spans="1:17">
      <c r="A203">
        <v>6352290</v>
      </c>
      <c r="B203" t="s">
        <v>57</v>
      </c>
      <c r="C203" t="s">
        <v>34</v>
      </c>
      <c r="D203" s="1">
        <v>47598</v>
      </c>
      <c r="E203">
        <v>4480</v>
      </c>
      <c r="F203">
        <v>46</v>
      </c>
      <c r="G203" s="2">
        <v>1.03E-2</v>
      </c>
      <c r="H203" s="2">
        <f>Table1[[#This Row],[İade Miktarı]]/Table1[[#This Row],[Satış Miktarı]]</f>
        <v>1.0267857142857143E-2</v>
      </c>
      <c r="I203" t="s">
        <v>18</v>
      </c>
      <c r="J203">
        <v>32</v>
      </c>
      <c r="K203">
        <f>Table1[[#This Row],[Satış Miktarı]]*Table1[[#This Row],[Satış Fiyatı]]</f>
        <v>143360</v>
      </c>
      <c r="L203" t="s">
        <v>19</v>
      </c>
      <c r="M203" t="s">
        <v>55</v>
      </c>
      <c r="N203" t="s">
        <v>50</v>
      </c>
      <c r="O203">
        <v>0.2</v>
      </c>
      <c r="P203" t="s">
        <v>22</v>
      </c>
      <c r="Q203" t="s">
        <v>83</v>
      </c>
    </row>
    <row r="204" spans="1:17">
      <c r="A204">
        <v>391720483</v>
      </c>
      <c r="B204" t="s">
        <v>59</v>
      </c>
      <c r="C204" t="s">
        <v>17</v>
      </c>
      <c r="D204" s="1">
        <v>47700</v>
      </c>
      <c r="E204">
        <v>4111</v>
      </c>
      <c r="F204">
        <v>23</v>
      </c>
      <c r="G204" s="2">
        <v>5.5999999999999999E-3</v>
      </c>
      <c r="H204" s="2">
        <f>Table1[[#This Row],[İade Miktarı]]/Table1[[#This Row],[Satış Miktarı]]</f>
        <v>5.5947458039406466E-3</v>
      </c>
      <c r="I204" t="s">
        <v>18</v>
      </c>
      <c r="J204">
        <v>20</v>
      </c>
      <c r="K204">
        <f>Table1[[#This Row],[Satış Miktarı]]*Table1[[#This Row],[Satış Fiyatı]]</f>
        <v>82220</v>
      </c>
      <c r="L204" t="s">
        <v>19</v>
      </c>
      <c r="M204" t="s">
        <v>58</v>
      </c>
      <c r="N204" t="s">
        <v>39</v>
      </c>
      <c r="O204">
        <v>0.2</v>
      </c>
      <c r="P204" t="s">
        <v>27</v>
      </c>
      <c r="Q204" t="s">
        <v>66</v>
      </c>
    </row>
    <row r="205" spans="1:17">
      <c r="A205">
        <v>122717259</v>
      </c>
      <c r="B205" t="s">
        <v>63</v>
      </c>
      <c r="C205" t="s">
        <v>17</v>
      </c>
      <c r="D205" s="1">
        <v>47602</v>
      </c>
      <c r="E205">
        <v>4160</v>
      </c>
      <c r="F205">
        <v>47</v>
      </c>
      <c r="G205" s="2">
        <v>1.1299999999999999E-2</v>
      </c>
      <c r="H205" s="2">
        <f>Table1[[#This Row],[İade Miktarı]]/Table1[[#This Row],[Satış Miktarı]]</f>
        <v>1.1298076923076923E-2</v>
      </c>
      <c r="I205" t="s">
        <v>18</v>
      </c>
      <c r="J205">
        <v>25</v>
      </c>
      <c r="K205">
        <f>Table1[[#This Row],[Satış Miktarı]]*Table1[[#This Row],[Satış Fiyatı]]</f>
        <v>104000</v>
      </c>
      <c r="L205" t="s">
        <v>19</v>
      </c>
      <c r="M205" t="s">
        <v>60</v>
      </c>
      <c r="N205" t="s">
        <v>31</v>
      </c>
      <c r="O205">
        <v>0.2</v>
      </c>
      <c r="P205" t="s">
        <v>27</v>
      </c>
      <c r="Q205" t="s">
        <v>83</v>
      </c>
    </row>
    <row r="206" spans="1:17">
      <c r="A206">
        <v>816960991</v>
      </c>
      <c r="B206" t="s">
        <v>67</v>
      </c>
      <c r="C206" t="s">
        <v>17</v>
      </c>
      <c r="D206" s="1">
        <v>47629</v>
      </c>
      <c r="E206">
        <v>4162</v>
      </c>
      <c r="F206">
        <v>22</v>
      </c>
      <c r="G206" s="2">
        <v>5.3E-3</v>
      </c>
      <c r="H206" s="2">
        <f>Table1[[#This Row],[İade Miktarı]]/Table1[[#This Row],[Satış Miktarı]]</f>
        <v>5.2859202306583374E-3</v>
      </c>
      <c r="I206" t="s">
        <v>18</v>
      </c>
      <c r="J206">
        <v>49</v>
      </c>
      <c r="K206">
        <f>Table1[[#This Row],[Satış Miktarı]]*Table1[[#This Row],[Satış Fiyatı]]</f>
        <v>203938</v>
      </c>
      <c r="L206" t="s">
        <v>19</v>
      </c>
      <c r="M206" t="s">
        <v>64</v>
      </c>
      <c r="N206" t="s">
        <v>21</v>
      </c>
      <c r="O206">
        <v>0.2</v>
      </c>
      <c r="P206" t="s">
        <v>22</v>
      </c>
      <c r="Q206" t="s">
        <v>82</v>
      </c>
    </row>
    <row r="207" spans="1:17">
      <c r="A207">
        <v>429407385</v>
      </c>
      <c r="B207" t="s">
        <v>70</v>
      </c>
      <c r="C207" t="s">
        <v>17</v>
      </c>
      <c r="D207" s="1">
        <v>47915</v>
      </c>
      <c r="E207">
        <v>4466</v>
      </c>
      <c r="F207">
        <v>28</v>
      </c>
      <c r="G207" s="2">
        <v>6.3E-3</v>
      </c>
      <c r="H207" s="2">
        <f>Table1[[#This Row],[İade Miktarı]]/Table1[[#This Row],[Satış Miktarı]]</f>
        <v>6.269592476489028E-3</v>
      </c>
      <c r="I207" t="s">
        <v>18</v>
      </c>
      <c r="J207">
        <v>40</v>
      </c>
      <c r="K207">
        <f>Table1[[#This Row],[Satış Miktarı]]*Table1[[#This Row],[Satış Fiyatı]]</f>
        <v>178640</v>
      </c>
      <c r="L207" t="s">
        <v>19</v>
      </c>
      <c r="M207" t="s">
        <v>68</v>
      </c>
      <c r="N207" t="s">
        <v>26</v>
      </c>
      <c r="O207">
        <v>0.2</v>
      </c>
      <c r="P207" t="s">
        <v>22</v>
      </c>
      <c r="Q207" t="s">
        <v>84</v>
      </c>
    </row>
    <row r="208" spans="1:17">
      <c r="A208">
        <v>989830365</v>
      </c>
      <c r="B208" t="s">
        <v>73</v>
      </c>
      <c r="C208" t="s">
        <v>17</v>
      </c>
      <c r="D208" s="1">
        <v>47986</v>
      </c>
      <c r="E208">
        <v>1220</v>
      </c>
      <c r="F208">
        <v>10</v>
      </c>
      <c r="G208" s="2">
        <v>8.2000000000000007E-3</v>
      </c>
      <c r="H208" s="2">
        <f>Table1[[#This Row],[İade Miktarı]]/Table1[[#This Row],[Satış Miktarı]]</f>
        <v>8.1967213114754103E-3</v>
      </c>
      <c r="I208" t="s">
        <v>18</v>
      </c>
      <c r="J208">
        <v>49</v>
      </c>
      <c r="K208">
        <f>Table1[[#This Row],[Satış Miktarı]]*Table1[[#This Row],[Satış Fiyatı]]</f>
        <v>59780</v>
      </c>
      <c r="L208" t="s">
        <v>19</v>
      </c>
      <c r="M208" t="s">
        <v>71</v>
      </c>
      <c r="N208" t="s">
        <v>31</v>
      </c>
      <c r="O208">
        <v>0.2</v>
      </c>
      <c r="P208" t="s">
        <v>22</v>
      </c>
      <c r="Q208" t="s">
        <v>84</v>
      </c>
    </row>
    <row r="209" spans="1:17">
      <c r="A209">
        <v>142136793</v>
      </c>
      <c r="B209" t="s">
        <v>16</v>
      </c>
      <c r="C209" t="s">
        <v>17</v>
      </c>
      <c r="D209" s="1">
        <v>47876</v>
      </c>
      <c r="E209">
        <v>3544</v>
      </c>
      <c r="F209">
        <v>30</v>
      </c>
      <c r="G209" s="2">
        <v>8.5000000000000006E-3</v>
      </c>
      <c r="H209" s="2">
        <f>Table1[[#This Row],[İade Miktarı]]/Table1[[#This Row],[Satış Miktarı]]</f>
        <v>8.4650112866817163E-3</v>
      </c>
      <c r="I209" t="s">
        <v>18</v>
      </c>
      <c r="J209">
        <v>46</v>
      </c>
      <c r="K209">
        <f>Table1[[#This Row],[Satış Miktarı]]*Table1[[#This Row],[Satış Fiyatı]]</f>
        <v>163024</v>
      </c>
      <c r="L209" t="s">
        <v>19</v>
      </c>
      <c r="M209" t="s">
        <v>74</v>
      </c>
      <c r="N209" t="s">
        <v>26</v>
      </c>
      <c r="O209">
        <v>0.2</v>
      </c>
      <c r="P209" t="s">
        <v>22</v>
      </c>
      <c r="Q209" t="s">
        <v>77</v>
      </c>
    </row>
    <row r="210" spans="1:17">
      <c r="A210">
        <v>810311764</v>
      </c>
      <c r="B210" t="s">
        <v>24</v>
      </c>
      <c r="C210" t="s">
        <v>17</v>
      </c>
      <c r="D210" s="1">
        <v>47630</v>
      </c>
      <c r="E210">
        <v>3030</v>
      </c>
      <c r="F210">
        <v>21</v>
      </c>
      <c r="G210" s="2">
        <v>6.8999999999999999E-3</v>
      </c>
      <c r="H210" s="2">
        <f>Table1[[#This Row],[İade Miktarı]]/Table1[[#This Row],[Satış Miktarı]]</f>
        <v>6.9306930693069308E-3</v>
      </c>
      <c r="I210" t="s">
        <v>45</v>
      </c>
      <c r="J210">
        <v>31</v>
      </c>
      <c r="K210">
        <f>Table1[[#This Row],[Satış Miktarı]]*Table1[[#This Row],[Satış Fiyatı]]</f>
        <v>93930</v>
      </c>
      <c r="L210" t="s">
        <v>19</v>
      </c>
      <c r="M210" t="s">
        <v>20</v>
      </c>
      <c r="N210" t="s">
        <v>76</v>
      </c>
      <c r="O210">
        <v>0.2</v>
      </c>
      <c r="P210" t="s">
        <v>22</v>
      </c>
      <c r="Q210" t="s">
        <v>53</v>
      </c>
    </row>
    <row r="211" spans="1:17">
      <c r="A211">
        <v>105671652</v>
      </c>
      <c r="B211" t="s">
        <v>29</v>
      </c>
      <c r="C211" t="s">
        <v>17</v>
      </c>
      <c r="D211" s="1">
        <v>47580</v>
      </c>
      <c r="E211">
        <v>4159</v>
      </c>
      <c r="F211">
        <v>38</v>
      </c>
      <c r="G211" s="2">
        <v>9.1000000000000004E-3</v>
      </c>
      <c r="H211" s="2">
        <f>Table1[[#This Row],[İade Miktarı]]/Table1[[#This Row],[Satış Miktarı]]</f>
        <v>9.1368117335898051E-3</v>
      </c>
      <c r="I211" t="s">
        <v>18</v>
      </c>
      <c r="J211">
        <v>46</v>
      </c>
      <c r="K211">
        <f>Table1[[#This Row],[Satış Miktarı]]*Table1[[#This Row],[Satış Fiyatı]]</f>
        <v>191314</v>
      </c>
      <c r="L211" t="s">
        <v>19</v>
      </c>
      <c r="M211" t="s">
        <v>25</v>
      </c>
      <c r="N211" t="s">
        <v>61</v>
      </c>
      <c r="O211">
        <v>0.2</v>
      </c>
      <c r="P211" t="s">
        <v>27</v>
      </c>
      <c r="Q211" t="s">
        <v>69</v>
      </c>
    </row>
    <row r="212" spans="1:17">
      <c r="A212">
        <v>551212865</v>
      </c>
      <c r="B212" t="s">
        <v>33</v>
      </c>
      <c r="C212" t="s">
        <v>34</v>
      </c>
      <c r="D212" s="1">
        <v>48571</v>
      </c>
      <c r="E212">
        <v>1000</v>
      </c>
      <c r="F212">
        <v>11</v>
      </c>
      <c r="G212" s="2">
        <v>1.0999999999999999E-2</v>
      </c>
      <c r="H212" s="2">
        <f>Table1[[#This Row],[İade Miktarı]]/Table1[[#This Row],[Satış Miktarı]]</f>
        <v>1.0999999999999999E-2</v>
      </c>
      <c r="I212" t="s">
        <v>18</v>
      </c>
      <c r="J212">
        <v>34</v>
      </c>
      <c r="K212">
        <f>Table1[[#This Row],[Satış Miktarı]]*Table1[[#This Row],[Satış Fiyatı]]</f>
        <v>34000</v>
      </c>
      <c r="L212" t="s">
        <v>19</v>
      </c>
      <c r="M212" t="s">
        <v>30</v>
      </c>
      <c r="N212" t="s">
        <v>50</v>
      </c>
      <c r="O212">
        <v>0.2</v>
      </c>
      <c r="P212" t="s">
        <v>27</v>
      </c>
      <c r="Q212" t="s">
        <v>83</v>
      </c>
    </row>
    <row r="213" spans="1:17">
      <c r="A213">
        <v>794964429</v>
      </c>
      <c r="B213" t="s">
        <v>37</v>
      </c>
      <c r="C213" t="s">
        <v>34</v>
      </c>
      <c r="D213" s="1">
        <v>47637</v>
      </c>
      <c r="E213">
        <v>3786</v>
      </c>
      <c r="F213">
        <v>48</v>
      </c>
      <c r="G213" s="2">
        <v>1.2699999999999999E-2</v>
      </c>
      <c r="H213" s="2">
        <f>Table1[[#This Row],[İade Miktarı]]/Table1[[#This Row],[Satış Miktarı]]</f>
        <v>1.2678288431061807E-2</v>
      </c>
      <c r="I213" t="s">
        <v>18</v>
      </c>
      <c r="J213">
        <v>24</v>
      </c>
      <c r="K213">
        <f>Table1[[#This Row],[Satış Miktarı]]*Table1[[#This Row],[Satış Fiyatı]]</f>
        <v>90864</v>
      </c>
      <c r="L213" t="s">
        <v>19</v>
      </c>
      <c r="M213" t="s">
        <v>35</v>
      </c>
      <c r="N213" t="s">
        <v>47</v>
      </c>
      <c r="O213">
        <v>0.2</v>
      </c>
      <c r="P213" t="s">
        <v>27</v>
      </c>
      <c r="Q213" t="s">
        <v>23</v>
      </c>
    </row>
    <row r="214" spans="1:17">
      <c r="A214">
        <v>902392592</v>
      </c>
      <c r="B214" t="s">
        <v>41</v>
      </c>
      <c r="C214" t="s">
        <v>17</v>
      </c>
      <c r="D214" s="1">
        <v>47717</v>
      </c>
      <c r="E214">
        <v>2824</v>
      </c>
      <c r="F214">
        <v>17</v>
      </c>
      <c r="G214" s="2">
        <v>6.0000000000000001E-3</v>
      </c>
      <c r="H214" s="2">
        <f>Table1[[#This Row],[İade Miktarı]]/Table1[[#This Row],[Satış Miktarı]]</f>
        <v>6.0198300283286115E-3</v>
      </c>
      <c r="I214" t="s">
        <v>18</v>
      </c>
      <c r="J214">
        <v>32</v>
      </c>
      <c r="K214">
        <f>Table1[[#This Row],[Satış Miktarı]]*Table1[[#This Row],[Satış Fiyatı]]</f>
        <v>90368</v>
      </c>
      <c r="L214" t="s">
        <v>19</v>
      </c>
      <c r="M214" t="s">
        <v>38</v>
      </c>
      <c r="N214" t="s">
        <v>61</v>
      </c>
      <c r="O214">
        <v>0.2</v>
      </c>
      <c r="P214" t="s">
        <v>27</v>
      </c>
      <c r="Q214" t="s">
        <v>48</v>
      </c>
    </row>
    <row r="215" spans="1:17">
      <c r="A215">
        <v>488894497</v>
      </c>
      <c r="B215" t="s">
        <v>44</v>
      </c>
      <c r="C215" t="s">
        <v>17</v>
      </c>
      <c r="D215" s="1">
        <v>48452</v>
      </c>
      <c r="E215">
        <v>2173</v>
      </c>
      <c r="F215">
        <v>39</v>
      </c>
      <c r="G215" s="2">
        <v>1.7899999999999999E-2</v>
      </c>
      <c r="H215" s="2">
        <f>Table1[[#This Row],[İade Miktarı]]/Table1[[#This Row],[Satış Miktarı]]</f>
        <v>1.7947537965945698E-2</v>
      </c>
      <c r="I215" t="s">
        <v>18</v>
      </c>
      <c r="J215">
        <v>37</v>
      </c>
      <c r="K215">
        <f>Table1[[#This Row],[Satış Miktarı]]*Table1[[#This Row],[Satış Fiyatı]]</f>
        <v>80401</v>
      </c>
      <c r="L215" t="s">
        <v>19</v>
      </c>
      <c r="M215" t="s">
        <v>42</v>
      </c>
      <c r="N215" t="s">
        <v>76</v>
      </c>
      <c r="O215">
        <v>0.2</v>
      </c>
      <c r="P215" t="s">
        <v>22</v>
      </c>
      <c r="Q215" t="s">
        <v>48</v>
      </c>
    </row>
    <row r="216" spans="1:17">
      <c r="A216">
        <v>449767153</v>
      </c>
      <c r="B216" t="s">
        <v>49</v>
      </c>
      <c r="C216" t="s">
        <v>34</v>
      </c>
      <c r="D216" s="1">
        <v>47635</v>
      </c>
      <c r="E216">
        <v>2940</v>
      </c>
      <c r="F216">
        <v>35</v>
      </c>
      <c r="G216" s="2">
        <v>1.1900000000000001E-2</v>
      </c>
      <c r="H216" s="2">
        <f>Table1[[#This Row],[İade Miktarı]]/Table1[[#This Row],[Satış Miktarı]]</f>
        <v>1.1904761904761904E-2</v>
      </c>
      <c r="I216" t="s">
        <v>18</v>
      </c>
      <c r="J216">
        <v>31</v>
      </c>
      <c r="K216">
        <f>Table1[[#This Row],[Satış Miktarı]]*Table1[[#This Row],[Satış Fiyatı]]</f>
        <v>91140</v>
      </c>
      <c r="L216" t="s">
        <v>19</v>
      </c>
      <c r="M216" t="s">
        <v>46</v>
      </c>
      <c r="N216" t="s">
        <v>31</v>
      </c>
      <c r="O216">
        <v>0.2</v>
      </c>
      <c r="P216" t="s">
        <v>22</v>
      </c>
      <c r="Q216" t="s">
        <v>77</v>
      </c>
    </row>
    <row r="217" spans="1:17">
      <c r="A217">
        <v>244672945</v>
      </c>
      <c r="B217" t="s">
        <v>51</v>
      </c>
      <c r="C217" t="s">
        <v>17</v>
      </c>
      <c r="D217" s="1">
        <v>47841</v>
      </c>
      <c r="E217">
        <v>1952</v>
      </c>
      <c r="F217">
        <v>12</v>
      </c>
      <c r="G217" s="2">
        <v>6.1000000000000004E-3</v>
      </c>
      <c r="H217" s="2">
        <f>Table1[[#This Row],[İade Miktarı]]/Table1[[#This Row],[Satış Miktarı]]</f>
        <v>6.1475409836065573E-3</v>
      </c>
      <c r="I217" t="s">
        <v>18</v>
      </c>
      <c r="J217">
        <v>22</v>
      </c>
      <c r="K217">
        <f>Table1[[#This Row],[Satış Miktarı]]*Table1[[#This Row],[Satış Fiyatı]]</f>
        <v>42944</v>
      </c>
      <c r="L217" t="s">
        <v>19</v>
      </c>
      <c r="M217" t="s">
        <v>46</v>
      </c>
      <c r="N217" t="s">
        <v>43</v>
      </c>
      <c r="O217">
        <v>0.2</v>
      </c>
      <c r="P217" t="s">
        <v>27</v>
      </c>
      <c r="Q217" t="s">
        <v>62</v>
      </c>
    </row>
    <row r="218" spans="1:17">
      <c r="A218">
        <v>543840471</v>
      </c>
      <c r="B218" t="s">
        <v>54</v>
      </c>
      <c r="C218" t="s">
        <v>34</v>
      </c>
      <c r="D218" s="1">
        <v>48553</v>
      </c>
      <c r="E218">
        <v>2212</v>
      </c>
      <c r="F218">
        <v>16</v>
      </c>
      <c r="G218" s="2">
        <v>7.1999999999999998E-3</v>
      </c>
      <c r="H218" s="2">
        <f>Table1[[#This Row],[İade Miktarı]]/Table1[[#This Row],[Satış Miktarı]]</f>
        <v>7.2332730560578659E-3</v>
      </c>
      <c r="I218" t="s">
        <v>18</v>
      </c>
      <c r="J218">
        <v>34</v>
      </c>
      <c r="K218">
        <f>Table1[[#This Row],[Satış Miktarı]]*Table1[[#This Row],[Satış Fiyatı]]</f>
        <v>75208</v>
      </c>
      <c r="L218" t="s">
        <v>19</v>
      </c>
      <c r="M218" t="s">
        <v>52</v>
      </c>
      <c r="N218" t="s">
        <v>50</v>
      </c>
      <c r="O218">
        <v>0.2</v>
      </c>
      <c r="P218" t="s">
        <v>27</v>
      </c>
      <c r="Q218" t="s">
        <v>32</v>
      </c>
    </row>
    <row r="219" spans="1:17">
      <c r="A219">
        <v>201257872</v>
      </c>
      <c r="B219" t="s">
        <v>57</v>
      </c>
      <c r="C219" t="s">
        <v>34</v>
      </c>
      <c r="D219" s="1">
        <v>47611</v>
      </c>
      <c r="E219">
        <v>3361</v>
      </c>
      <c r="F219">
        <v>37</v>
      </c>
      <c r="G219" s="2">
        <v>1.0999999999999999E-2</v>
      </c>
      <c r="H219" s="2">
        <f>Table1[[#This Row],[İade Miktarı]]/Table1[[#This Row],[Satış Miktarı]]</f>
        <v>1.1008628384409401E-2</v>
      </c>
      <c r="I219" t="s">
        <v>18</v>
      </c>
      <c r="J219">
        <v>37</v>
      </c>
      <c r="K219">
        <f>Table1[[#This Row],[Satış Miktarı]]*Table1[[#This Row],[Satış Fiyatı]]</f>
        <v>124357</v>
      </c>
      <c r="L219" t="s">
        <v>19</v>
      </c>
      <c r="M219" t="s">
        <v>55</v>
      </c>
      <c r="N219" t="s">
        <v>76</v>
      </c>
      <c r="O219">
        <v>0.2</v>
      </c>
      <c r="P219" t="s">
        <v>27</v>
      </c>
      <c r="Q219" t="s">
        <v>75</v>
      </c>
    </row>
    <row r="220" spans="1:17">
      <c r="A220">
        <v>810895889</v>
      </c>
      <c r="B220" t="s">
        <v>59</v>
      </c>
      <c r="C220" t="s">
        <v>17</v>
      </c>
      <c r="D220" s="1">
        <v>47530</v>
      </c>
      <c r="E220">
        <v>2359</v>
      </c>
      <c r="F220">
        <v>33</v>
      </c>
      <c r="G220" s="2">
        <v>1.4E-2</v>
      </c>
      <c r="H220" s="2">
        <f>Table1[[#This Row],[İade Miktarı]]/Table1[[#This Row],[Satış Miktarı]]</f>
        <v>1.3988978380669776E-2</v>
      </c>
      <c r="I220" t="s">
        <v>18</v>
      </c>
      <c r="J220">
        <v>46</v>
      </c>
      <c r="K220">
        <f>Table1[[#This Row],[Satış Miktarı]]*Table1[[#This Row],[Satış Fiyatı]]</f>
        <v>108514</v>
      </c>
      <c r="L220" t="s">
        <v>19</v>
      </c>
      <c r="M220" t="s">
        <v>58</v>
      </c>
      <c r="N220" t="s">
        <v>61</v>
      </c>
      <c r="O220">
        <v>0.2</v>
      </c>
      <c r="P220" t="s">
        <v>27</v>
      </c>
      <c r="Q220" t="s">
        <v>69</v>
      </c>
    </row>
    <row r="221" spans="1:17">
      <c r="A221">
        <v>900057510</v>
      </c>
      <c r="B221" t="s">
        <v>63</v>
      </c>
      <c r="C221" t="s">
        <v>17</v>
      </c>
      <c r="D221" s="1">
        <v>47959</v>
      </c>
      <c r="E221">
        <v>1957</v>
      </c>
      <c r="F221">
        <v>34</v>
      </c>
      <c r="G221" s="2">
        <v>1.7399999999999999E-2</v>
      </c>
      <c r="H221" s="2">
        <f>Table1[[#This Row],[İade Miktarı]]/Table1[[#This Row],[Satış Miktarı]]</f>
        <v>1.7373530914665303E-2</v>
      </c>
      <c r="I221" t="s">
        <v>18</v>
      </c>
      <c r="J221">
        <v>37</v>
      </c>
      <c r="K221">
        <f>Table1[[#This Row],[Satış Miktarı]]*Table1[[#This Row],[Satış Fiyatı]]</f>
        <v>72409</v>
      </c>
      <c r="L221" t="s">
        <v>19</v>
      </c>
      <c r="M221" t="s">
        <v>60</v>
      </c>
      <c r="N221" t="s">
        <v>31</v>
      </c>
      <c r="O221">
        <v>0.2</v>
      </c>
      <c r="P221" t="s">
        <v>22</v>
      </c>
      <c r="Q221" t="s">
        <v>72</v>
      </c>
    </row>
    <row r="222" spans="1:17">
      <c r="A222">
        <v>708473039</v>
      </c>
      <c r="B222" t="s">
        <v>29</v>
      </c>
      <c r="C222" t="s">
        <v>17</v>
      </c>
      <c r="D222" s="1">
        <v>48185</v>
      </c>
      <c r="E222">
        <v>1611</v>
      </c>
      <c r="F222">
        <v>45</v>
      </c>
      <c r="G222" s="2">
        <v>2.7900000000000001E-2</v>
      </c>
      <c r="H222" s="2">
        <f>Table1[[#This Row],[İade Miktarı]]/Table1[[#This Row],[Satış Miktarı]]</f>
        <v>2.7932960893854747E-2</v>
      </c>
      <c r="I222" t="s">
        <v>18</v>
      </c>
      <c r="J222">
        <v>33</v>
      </c>
      <c r="K222">
        <f>Table1[[#This Row],[Satış Miktarı]]*Table1[[#This Row],[Satış Fiyatı]]</f>
        <v>53163</v>
      </c>
      <c r="L222" t="s">
        <v>19</v>
      </c>
      <c r="M222" t="s">
        <v>64</v>
      </c>
      <c r="N222" t="s">
        <v>47</v>
      </c>
      <c r="O222">
        <v>0.2</v>
      </c>
      <c r="P222" t="s">
        <v>22</v>
      </c>
      <c r="Q222" t="s">
        <v>40</v>
      </c>
    </row>
    <row r="223" spans="1:17">
      <c r="A223">
        <v>658121266</v>
      </c>
      <c r="B223" t="s">
        <v>33</v>
      </c>
      <c r="C223" t="s">
        <v>34</v>
      </c>
      <c r="D223" s="1">
        <v>47846</v>
      </c>
      <c r="E223">
        <v>2197</v>
      </c>
      <c r="F223">
        <v>41</v>
      </c>
      <c r="G223" s="2">
        <v>1.8700000000000001E-2</v>
      </c>
      <c r="H223" s="2">
        <f>Table1[[#This Row],[İade Miktarı]]/Table1[[#This Row],[Satış Miktarı]]</f>
        <v>1.8661811561219845E-2</v>
      </c>
      <c r="I223" t="s">
        <v>18</v>
      </c>
      <c r="J223">
        <v>40</v>
      </c>
      <c r="K223">
        <f>Table1[[#This Row],[Satış Miktarı]]*Table1[[#This Row],[Satış Fiyatı]]</f>
        <v>87880</v>
      </c>
      <c r="L223" t="s">
        <v>19</v>
      </c>
      <c r="M223" t="s">
        <v>68</v>
      </c>
      <c r="N223" t="s">
        <v>76</v>
      </c>
      <c r="O223">
        <v>0.2</v>
      </c>
      <c r="P223" t="s">
        <v>27</v>
      </c>
      <c r="Q223" t="s">
        <v>84</v>
      </c>
    </row>
    <row r="224" spans="1:17">
      <c r="A224">
        <v>106533270</v>
      </c>
      <c r="B224" t="s">
        <v>37</v>
      </c>
      <c r="C224" t="s">
        <v>34</v>
      </c>
      <c r="D224" s="1">
        <v>47534</v>
      </c>
      <c r="E224">
        <v>1111</v>
      </c>
      <c r="F224">
        <v>45</v>
      </c>
      <c r="G224" s="2">
        <v>4.0500000000000001E-2</v>
      </c>
      <c r="H224" s="2">
        <f>Table1[[#This Row],[İade Miktarı]]/Table1[[#This Row],[Satış Miktarı]]</f>
        <v>4.0504050405040501E-2</v>
      </c>
      <c r="I224" t="s">
        <v>45</v>
      </c>
      <c r="J224">
        <v>48</v>
      </c>
      <c r="K224">
        <f>Table1[[#This Row],[Satış Miktarı]]*Table1[[#This Row],[Satış Fiyatı]]</f>
        <v>53328</v>
      </c>
      <c r="L224" t="s">
        <v>19</v>
      </c>
      <c r="M224" t="s">
        <v>71</v>
      </c>
      <c r="N224" t="s">
        <v>50</v>
      </c>
      <c r="O224">
        <v>0.2</v>
      </c>
      <c r="P224" t="s">
        <v>27</v>
      </c>
      <c r="Q224" t="s">
        <v>84</v>
      </c>
    </row>
    <row r="225" spans="1:17">
      <c r="A225">
        <v>588105298</v>
      </c>
      <c r="B225" t="s">
        <v>41</v>
      </c>
      <c r="C225" t="s">
        <v>17</v>
      </c>
      <c r="D225" s="1">
        <v>47998</v>
      </c>
      <c r="E225">
        <v>1486</v>
      </c>
      <c r="F225">
        <v>32</v>
      </c>
      <c r="G225" s="2">
        <v>2.1499999999999998E-2</v>
      </c>
      <c r="H225" s="2">
        <f>Table1[[#This Row],[İade Miktarı]]/Table1[[#This Row],[Satış Miktarı]]</f>
        <v>2.1534320323014805E-2</v>
      </c>
      <c r="I225" t="s">
        <v>18</v>
      </c>
      <c r="J225">
        <v>35</v>
      </c>
      <c r="K225">
        <f>Table1[[#This Row],[Satış Miktarı]]*Table1[[#This Row],[Satış Fiyatı]]</f>
        <v>52010</v>
      </c>
      <c r="L225" t="s">
        <v>19</v>
      </c>
      <c r="M225" t="s">
        <v>74</v>
      </c>
      <c r="N225" t="s">
        <v>78</v>
      </c>
      <c r="O225">
        <v>0.2</v>
      </c>
      <c r="P225" t="s">
        <v>22</v>
      </c>
      <c r="Q225" t="s">
        <v>82</v>
      </c>
    </row>
    <row r="226" spans="1:17">
      <c r="A226">
        <v>855925986</v>
      </c>
      <c r="B226" t="s">
        <v>44</v>
      </c>
      <c r="C226" t="s">
        <v>17</v>
      </c>
      <c r="D226" s="1">
        <v>48023</v>
      </c>
      <c r="E226">
        <v>3703</v>
      </c>
      <c r="F226">
        <v>12</v>
      </c>
      <c r="G226" s="2">
        <v>3.2000000000000002E-3</v>
      </c>
      <c r="H226" s="2">
        <f>Table1[[#This Row],[İade Miktarı]]/Table1[[#This Row],[Satış Miktarı]]</f>
        <v>3.2406157169862274E-3</v>
      </c>
      <c r="I226" t="s">
        <v>18</v>
      </c>
      <c r="J226">
        <v>29</v>
      </c>
      <c r="K226">
        <f>Table1[[#This Row],[Satış Miktarı]]*Table1[[#This Row],[Satış Fiyatı]]</f>
        <v>107387</v>
      </c>
      <c r="L226" t="s">
        <v>19</v>
      </c>
      <c r="M226" t="s">
        <v>20</v>
      </c>
      <c r="N226" t="s">
        <v>50</v>
      </c>
      <c r="O226">
        <v>0.2</v>
      </c>
      <c r="P226" t="s">
        <v>22</v>
      </c>
      <c r="Q226" t="s">
        <v>62</v>
      </c>
    </row>
    <row r="227" spans="1:17">
      <c r="A227">
        <v>650802858</v>
      </c>
      <c r="B227" t="s">
        <v>49</v>
      </c>
      <c r="C227" t="s">
        <v>34</v>
      </c>
      <c r="D227" s="1">
        <v>47854</v>
      </c>
      <c r="E227">
        <v>3289</v>
      </c>
      <c r="F227">
        <v>33</v>
      </c>
      <c r="G227" s="2">
        <v>0.01</v>
      </c>
      <c r="H227" s="2">
        <f>Table1[[#This Row],[İade Miktarı]]/Table1[[#This Row],[Satış Miktarı]]</f>
        <v>1.0033444816053512E-2</v>
      </c>
      <c r="I227" t="s">
        <v>18</v>
      </c>
      <c r="J227">
        <v>20</v>
      </c>
      <c r="K227">
        <f>Table1[[#This Row],[Satış Miktarı]]*Table1[[#This Row],[Satış Fiyatı]]</f>
        <v>65780</v>
      </c>
      <c r="L227" t="s">
        <v>19</v>
      </c>
      <c r="M227" t="s">
        <v>25</v>
      </c>
      <c r="N227" t="s">
        <v>61</v>
      </c>
      <c r="O227">
        <v>0.2</v>
      </c>
      <c r="P227" t="s">
        <v>22</v>
      </c>
      <c r="Q227" t="s">
        <v>56</v>
      </c>
    </row>
    <row r="228" spans="1:17">
      <c r="A228">
        <v>2915337</v>
      </c>
      <c r="B228" t="s">
        <v>51</v>
      </c>
      <c r="C228" t="s">
        <v>17</v>
      </c>
      <c r="D228" s="1">
        <v>47939</v>
      </c>
      <c r="E228">
        <v>1818</v>
      </c>
      <c r="F228">
        <v>49</v>
      </c>
      <c r="G228" s="2">
        <v>2.7E-2</v>
      </c>
      <c r="H228" s="2">
        <f>Table1[[#This Row],[İade Miktarı]]/Table1[[#This Row],[Satış Miktarı]]</f>
        <v>2.6952695269526952E-2</v>
      </c>
      <c r="I228" t="s">
        <v>18</v>
      </c>
      <c r="J228">
        <v>38</v>
      </c>
      <c r="K228">
        <f>Table1[[#This Row],[Satış Miktarı]]*Table1[[#This Row],[Satış Fiyatı]]</f>
        <v>69084</v>
      </c>
      <c r="L228" t="s">
        <v>19</v>
      </c>
      <c r="M228" t="s">
        <v>30</v>
      </c>
      <c r="N228" t="s">
        <v>65</v>
      </c>
      <c r="O228">
        <v>0.2</v>
      </c>
      <c r="P228" t="s">
        <v>27</v>
      </c>
      <c r="Q228" t="s">
        <v>62</v>
      </c>
    </row>
    <row r="229" spans="1:17">
      <c r="A229">
        <v>63645222</v>
      </c>
      <c r="B229" t="s">
        <v>54</v>
      </c>
      <c r="C229" t="s">
        <v>34</v>
      </c>
      <c r="D229" s="1">
        <v>48188</v>
      </c>
      <c r="E229">
        <v>3058</v>
      </c>
      <c r="F229">
        <v>17</v>
      </c>
      <c r="G229" s="2">
        <v>5.5999999999999999E-3</v>
      </c>
      <c r="H229" s="2">
        <f>Table1[[#This Row],[İade Miktarı]]/Table1[[#This Row],[Satış Miktarı]]</f>
        <v>5.5591890124264227E-3</v>
      </c>
      <c r="I229" t="s">
        <v>18</v>
      </c>
      <c r="J229">
        <v>22</v>
      </c>
      <c r="K229">
        <f>Table1[[#This Row],[Satış Miktarı]]*Table1[[#This Row],[Satış Fiyatı]]</f>
        <v>67276</v>
      </c>
      <c r="L229" t="s">
        <v>19</v>
      </c>
      <c r="M229" t="s">
        <v>35</v>
      </c>
      <c r="N229" t="s">
        <v>21</v>
      </c>
      <c r="O229">
        <v>0.2</v>
      </c>
      <c r="P229" t="s">
        <v>22</v>
      </c>
      <c r="Q229" t="s">
        <v>83</v>
      </c>
    </row>
    <row r="230" spans="1:17">
      <c r="A230">
        <v>462585648</v>
      </c>
      <c r="B230" t="s">
        <v>57</v>
      </c>
      <c r="C230" t="s">
        <v>34</v>
      </c>
      <c r="D230" s="1">
        <v>47860</v>
      </c>
      <c r="E230">
        <v>4383</v>
      </c>
      <c r="F230">
        <v>16</v>
      </c>
      <c r="G230" s="2">
        <v>3.7000000000000002E-3</v>
      </c>
      <c r="H230" s="2">
        <f>Table1[[#This Row],[İade Miktarı]]/Table1[[#This Row],[Satış Miktarı]]</f>
        <v>3.650467716176135E-3</v>
      </c>
      <c r="I230" t="s">
        <v>18</v>
      </c>
      <c r="J230">
        <v>42</v>
      </c>
      <c r="K230">
        <f>Table1[[#This Row],[Satış Miktarı]]*Table1[[#This Row],[Satış Fiyatı]]</f>
        <v>184086</v>
      </c>
      <c r="L230" t="s">
        <v>19</v>
      </c>
      <c r="M230" t="s">
        <v>38</v>
      </c>
      <c r="N230" t="s">
        <v>43</v>
      </c>
      <c r="O230">
        <v>0.2</v>
      </c>
      <c r="P230" t="s">
        <v>27</v>
      </c>
      <c r="Q230" t="s">
        <v>82</v>
      </c>
    </row>
    <row r="231" spans="1:17">
      <c r="A231">
        <v>676608987</v>
      </c>
      <c r="B231" t="s">
        <v>59</v>
      </c>
      <c r="C231" t="s">
        <v>17</v>
      </c>
      <c r="D231" s="1">
        <v>48292</v>
      </c>
      <c r="E231">
        <v>1018</v>
      </c>
      <c r="F231">
        <v>40</v>
      </c>
      <c r="G231" s="2">
        <v>3.9300000000000002E-2</v>
      </c>
      <c r="H231" s="2">
        <f>Table1[[#This Row],[İade Miktarı]]/Table1[[#This Row],[Satış Miktarı]]</f>
        <v>3.9292730844793712E-2</v>
      </c>
      <c r="I231" t="s">
        <v>45</v>
      </c>
      <c r="J231">
        <v>30</v>
      </c>
      <c r="K231">
        <f>Table1[[#This Row],[Satış Miktarı]]*Table1[[#This Row],[Satış Fiyatı]]</f>
        <v>30540</v>
      </c>
      <c r="L231" t="s">
        <v>19</v>
      </c>
      <c r="M231" t="s">
        <v>42</v>
      </c>
      <c r="N231" t="s">
        <v>21</v>
      </c>
      <c r="O231">
        <v>0.2</v>
      </c>
      <c r="P231" t="s">
        <v>22</v>
      </c>
      <c r="Q231" t="s">
        <v>28</v>
      </c>
    </row>
    <row r="232" spans="1:17">
      <c r="A232">
        <v>770830751</v>
      </c>
      <c r="B232" t="s">
        <v>63</v>
      </c>
      <c r="C232" t="s">
        <v>17</v>
      </c>
      <c r="D232" s="1">
        <v>48058</v>
      </c>
      <c r="E232">
        <v>1537</v>
      </c>
      <c r="F232">
        <v>19</v>
      </c>
      <c r="G232" s="2">
        <v>1.24E-2</v>
      </c>
      <c r="H232" s="2">
        <f>Table1[[#This Row],[İade Miktarı]]/Table1[[#This Row],[Satış Miktarı]]</f>
        <v>1.2361743656473649E-2</v>
      </c>
      <c r="I232" t="s">
        <v>18</v>
      </c>
      <c r="J232">
        <v>27</v>
      </c>
      <c r="K232">
        <f>Table1[[#This Row],[Satış Miktarı]]*Table1[[#This Row],[Satış Fiyatı]]</f>
        <v>41499</v>
      </c>
      <c r="L232" t="s">
        <v>19</v>
      </c>
      <c r="M232" t="s">
        <v>46</v>
      </c>
      <c r="N232" t="s">
        <v>76</v>
      </c>
      <c r="O232">
        <v>0.2</v>
      </c>
      <c r="P232" t="s">
        <v>27</v>
      </c>
      <c r="Q232" t="s">
        <v>80</v>
      </c>
    </row>
    <row r="233" spans="1:17">
      <c r="A233">
        <v>569049042</v>
      </c>
      <c r="B233" t="s">
        <v>67</v>
      </c>
      <c r="C233" t="s">
        <v>17</v>
      </c>
      <c r="D233" s="1">
        <v>48357</v>
      </c>
      <c r="E233">
        <v>3096</v>
      </c>
      <c r="F233">
        <v>40</v>
      </c>
      <c r="G233" s="2">
        <v>1.29E-2</v>
      </c>
      <c r="H233" s="2">
        <f>Table1[[#This Row],[İade Miktarı]]/Table1[[#This Row],[Satış Miktarı]]</f>
        <v>1.2919896640826873E-2</v>
      </c>
      <c r="I233" t="s">
        <v>18</v>
      </c>
      <c r="J233">
        <v>42</v>
      </c>
      <c r="K233">
        <f>Table1[[#This Row],[Satış Miktarı]]*Table1[[#This Row],[Satış Fiyatı]]</f>
        <v>130032</v>
      </c>
      <c r="L233" t="s">
        <v>19</v>
      </c>
      <c r="M233" t="s">
        <v>46</v>
      </c>
      <c r="N233" t="s">
        <v>31</v>
      </c>
      <c r="O233">
        <v>0.2</v>
      </c>
      <c r="P233" t="s">
        <v>22</v>
      </c>
      <c r="Q233" t="s">
        <v>82</v>
      </c>
    </row>
    <row r="234" spans="1:17">
      <c r="A234">
        <v>703796796</v>
      </c>
      <c r="B234" t="s">
        <v>70</v>
      </c>
      <c r="C234" t="s">
        <v>17</v>
      </c>
      <c r="D234" s="1">
        <v>48392</v>
      </c>
      <c r="E234">
        <v>1438</v>
      </c>
      <c r="F234">
        <v>35</v>
      </c>
      <c r="G234" s="2">
        <v>2.4299999999999999E-2</v>
      </c>
      <c r="H234" s="2">
        <f>Table1[[#This Row],[İade Miktarı]]/Table1[[#This Row],[Satış Miktarı]]</f>
        <v>2.4339360222531293E-2</v>
      </c>
      <c r="I234" t="s">
        <v>18</v>
      </c>
      <c r="J234">
        <v>31</v>
      </c>
      <c r="K234">
        <f>Table1[[#This Row],[Satış Miktarı]]*Table1[[#This Row],[Satış Fiyatı]]</f>
        <v>44578</v>
      </c>
      <c r="L234" t="s">
        <v>19</v>
      </c>
      <c r="M234" t="s">
        <v>52</v>
      </c>
      <c r="N234" t="s">
        <v>76</v>
      </c>
      <c r="O234">
        <v>0.2</v>
      </c>
      <c r="P234" t="s">
        <v>22</v>
      </c>
      <c r="Q234" t="s">
        <v>77</v>
      </c>
    </row>
    <row r="235" spans="1:17">
      <c r="A235">
        <v>593484970</v>
      </c>
      <c r="B235" t="s">
        <v>73</v>
      </c>
      <c r="C235" t="s">
        <v>17</v>
      </c>
      <c r="D235" s="1">
        <v>47589</v>
      </c>
      <c r="E235">
        <v>2172</v>
      </c>
      <c r="F235">
        <v>10</v>
      </c>
      <c r="G235" s="2">
        <v>4.5999999999999999E-3</v>
      </c>
      <c r="H235" s="2">
        <f>Table1[[#This Row],[İade Miktarı]]/Table1[[#This Row],[Satış Miktarı]]</f>
        <v>4.6040515653775326E-3</v>
      </c>
      <c r="I235" t="s">
        <v>18</v>
      </c>
      <c r="J235">
        <v>42</v>
      </c>
      <c r="K235">
        <f>Table1[[#This Row],[Satış Miktarı]]*Table1[[#This Row],[Satış Fiyatı]]</f>
        <v>91224</v>
      </c>
      <c r="L235" t="s">
        <v>19</v>
      </c>
      <c r="M235" t="s">
        <v>55</v>
      </c>
      <c r="N235" t="s">
        <v>65</v>
      </c>
      <c r="O235">
        <v>0.2</v>
      </c>
      <c r="P235" t="s">
        <v>22</v>
      </c>
      <c r="Q235" t="s">
        <v>36</v>
      </c>
    </row>
    <row r="236" spans="1:17">
      <c r="A236">
        <v>893453145</v>
      </c>
      <c r="B236" t="s">
        <v>16</v>
      </c>
      <c r="C236" t="s">
        <v>17</v>
      </c>
      <c r="D236" s="1">
        <v>47741</v>
      </c>
      <c r="E236">
        <v>3090</v>
      </c>
      <c r="F236">
        <v>46</v>
      </c>
      <c r="G236" s="2">
        <v>1.49E-2</v>
      </c>
      <c r="H236" s="2">
        <f>Table1[[#This Row],[İade Miktarı]]/Table1[[#This Row],[Satış Miktarı]]</f>
        <v>1.4886731391585761E-2</v>
      </c>
      <c r="I236" t="s">
        <v>18</v>
      </c>
      <c r="J236">
        <v>31</v>
      </c>
      <c r="K236">
        <f>Table1[[#This Row],[Satış Miktarı]]*Table1[[#This Row],[Satış Fiyatı]]</f>
        <v>95790</v>
      </c>
      <c r="L236" t="s">
        <v>19</v>
      </c>
      <c r="M236" t="s">
        <v>58</v>
      </c>
      <c r="N236" t="s">
        <v>39</v>
      </c>
      <c r="O236">
        <v>0.2</v>
      </c>
      <c r="P236" t="s">
        <v>27</v>
      </c>
      <c r="Q236" t="s">
        <v>75</v>
      </c>
    </row>
    <row r="237" spans="1:17">
      <c r="A237">
        <v>304099768</v>
      </c>
      <c r="B237" t="s">
        <v>24</v>
      </c>
      <c r="C237" t="s">
        <v>17</v>
      </c>
      <c r="D237" s="1">
        <v>48380</v>
      </c>
      <c r="E237">
        <v>4041</v>
      </c>
      <c r="F237">
        <v>25</v>
      </c>
      <c r="G237" s="2">
        <v>6.1999999999999998E-3</v>
      </c>
      <c r="H237" s="2">
        <f>Table1[[#This Row],[İade Miktarı]]/Table1[[#This Row],[Satış Miktarı]]</f>
        <v>6.186587478346944E-3</v>
      </c>
      <c r="I237" t="s">
        <v>18</v>
      </c>
      <c r="J237">
        <v>21</v>
      </c>
      <c r="K237">
        <f>Table1[[#This Row],[Satış Miktarı]]*Table1[[#This Row],[Satış Fiyatı]]</f>
        <v>84861</v>
      </c>
      <c r="L237" t="s">
        <v>19</v>
      </c>
      <c r="M237" t="s">
        <v>60</v>
      </c>
      <c r="N237" t="s">
        <v>50</v>
      </c>
      <c r="O237">
        <v>0.2</v>
      </c>
      <c r="P237" t="s">
        <v>27</v>
      </c>
      <c r="Q237" t="s">
        <v>80</v>
      </c>
    </row>
    <row r="238" spans="1:17">
      <c r="A238">
        <v>869759082</v>
      </c>
      <c r="B238" t="s">
        <v>29</v>
      </c>
      <c r="C238" t="s">
        <v>17</v>
      </c>
      <c r="D238" s="1">
        <v>47996</v>
      </c>
      <c r="E238">
        <v>4066</v>
      </c>
      <c r="F238">
        <v>49</v>
      </c>
      <c r="G238" s="2">
        <v>1.21E-2</v>
      </c>
      <c r="H238" s="2">
        <f>Table1[[#This Row],[İade Miktarı]]/Table1[[#This Row],[Satış Miktarı]]</f>
        <v>1.2051155927201181E-2</v>
      </c>
      <c r="I238" t="s">
        <v>18</v>
      </c>
      <c r="J238">
        <v>50</v>
      </c>
      <c r="K238">
        <f>Table1[[#This Row],[Satış Miktarı]]*Table1[[#This Row],[Satış Fiyatı]]</f>
        <v>203300</v>
      </c>
      <c r="L238" t="s">
        <v>19</v>
      </c>
      <c r="M238" t="s">
        <v>64</v>
      </c>
      <c r="N238" t="s">
        <v>76</v>
      </c>
      <c r="O238">
        <v>0.2</v>
      </c>
      <c r="P238" t="s">
        <v>22</v>
      </c>
      <c r="Q238" t="s">
        <v>56</v>
      </c>
    </row>
    <row r="239" spans="1:17">
      <c r="A239">
        <v>922042266</v>
      </c>
      <c r="B239" t="s">
        <v>33</v>
      </c>
      <c r="C239" t="s">
        <v>34</v>
      </c>
      <c r="D239" s="1">
        <v>48322</v>
      </c>
      <c r="E239">
        <v>1019</v>
      </c>
      <c r="F239">
        <v>24</v>
      </c>
      <c r="G239" s="2">
        <v>2.3599999999999999E-2</v>
      </c>
      <c r="H239" s="2">
        <f>Table1[[#This Row],[İade Miktarı]]/Table1[[#This Row],[Satış Miktarı]]</f>
        <v>2.3552502453385672E-2</v>
      </c>
      <c r="I239" t="s">
        <v>18</v>
      </c>
      <c r="J239">
        <v>26</v>
      </c>
      <c r="K239">
        <f>Table1[[#This Row],[Satış Miktarı]]*Table1[[#This Row],[Satış Fiyatı]]</f>
        <v>26494</v>
      </c>
      <c r="L239" t="s">
        <v>19</v>
      </c>
      <c r="M239" t="s">
        <v>68</v>
      </c>
      <c r="N239" t="s">
        <v>50</v>
      </c>
      <c r="O239">
        <v>0.2</v>
      </c>
      <c r="P239" t="s">
        <v>22</v>
      </c>
      <c r="Q239" t="s">
        <v>80</v>
      </c>
    </row>
    <row r="240" spans="1:17">
      <c r="A240">
        <v>30027623</v>
      </c>
      <c r="B240" t="s">
        <v>37</v>
      </c>
      <c r="C240" t="s">
        <v>34</v>
      </c>
      <c r="D240" s="1">
        <v>47747</v>
      </c>
      <c r="E240">
        <v>1193</v>
      </c>
      <c r="F240">
        <v>10</v>
      </c>
      <c r="G240" s="2">
        <v>8.3999999999999995E-3</v>
      </c>
      <c r="H240" s="2">
        <f>Table1[[#This Row],[İade Miktarı]]/Table1[[#This Row],[Satış Miktarı]]</f>
        <v>8.3822296730930428E-3</v>
      </c>
      <c r="I240" t="s">
        <v>45</v>
      </c>
      <c r="J240">
        <v>28</v>
      </c>
      <c r="K240">
        <f>Table1[[#This Row],[Satış Miktarı]]*Table1[[#This Row],[Satış Fiyatı]]</f>
        <v>33404</v>
      </c>
      <c r="L240" t="s">
        <v>19</v>
      </c>
      <c r="M240" t="s">
        <v>71</v>
      </c>
      <c r="N240" t="s">
        <v>31</v>
      </c>
      <c r="O240">
        <v>0.2</v>
      </c>
      <c r="P240" t="s">
        <v>22</v>
      </c>
      <c r="Q240" t="s">
        <v>77</v>
      </c>
    </row>
    <row r="241" spans="1:17">
      <c r="A241">
        <v>129880244</v>
      </c>
      <c r="B241" t="s">
        <v>41</v>
      </c>
      <c r="C241" t="s">
        <v>17</v>
      </c>
      <c r="D241" s="1">
        <v>48572</v>
      </c>
      <c r="E241">
        <v>1352</v>
      </c>
      <c r="F241">
        <v>47</v>
      </c>
      <c r="G241" s="2">
        <v>3.4799999999999998E-2</v>
      </c>
      <c r="H241" s="2">
        <f>Table1[[#This Row],[İade Miktarı]]/Table1[[#This Row],[Satış Miktarı]]</f>
        <v>3.4763313609467453E-2</v>
      </c>
      <c r="I241" t="s">
        <v>45</v>
      </c>
      <c r="J241">
        <v>23</v>
      </c>
      <c r="K241">
        <f>Table1[[#This Row],[Satış Miktarı]]*Table1[[#This Row],[Satış Fiyatı]]</f>
        <v>31096</v>
      </c>
      <c r="L241" t="s">
        <v>19</v>
      </c>
      <c r="M241" t="s">
        <v>74</v>
      </c>
      <c r="N241" t="s">
        <v>31</v>
      </c>
      <c r="O241">
        <v>0.2</v>
      </c>
      <c r="P241" t="s">
        <v>27</v>
      </c>
      <c r="Q241" t="s">
        <v>83</v>
      </c>
    </row>
    <row r="242" spans="1:17">
      <c r="A242">
        <v>91527841</v>
      </c>
      <c r="B242" t="s">
        <v>44</v>
      </c>
      <c r="C242" t="s">
        <v>17</v>
      </c>
      <c r="D242" s="1">
        <v>47840</v>
      </c>
      <c r="E242">
        <v>1354</v>
      </c>
      <c r="F242">
        <v>20</v>
      </c>
      <c r="G242" s="2">
        <v>1.4800000000000001E-2</v>
      </c>
      <c r="H242" s="2">
        <f>Table1[[#This Row],[İade Miktarı]]/Table1[[#This Row],[Satış Miktarı]]</f>
        <v>1.4771048744460856E-2</v>
      </c>
      <c r="I242" t="s">
        <v>18</v>
      </c>
      <c r="J242">
        <v>48</v>
      </c>
      <c r="K242">
        <f>Table1[[#This Row],[Satış Miktarı]]*Table1[[#This Row],[Satış Fiyatı]]</f>
        <v>64992</v>
      </c>
      <c r="L242" t="s">
        <v>19</v>
      </c>
      <c r="M242" t="s">
        <v>20</v>
      </c>
      <c r="N242" t="s">
        <v>43</v>
      </c>
      <c r="O242">
        <v>0.2</v>
      </c>
      <c r="P242" t="s">
        <v>27</v>
      </c>
      <c r="Q242" t="s">
        <v>53</v>
      </c>
    </row>
    <row r="243" spans="1:17">
      <c r="A243">
        <v>628527609</v>
      </c>
      <c r="B243" t="s">
        <v>49</v>
      </c>
      <c r="C243" t="s">
        <v>34</v>
      </c>
      <c r="D243" s="1">
        <v>47690</v>
      </c>
      <c r="E243">
        <v>3520</v>
      </c>
      <c r="F243">
        <v>33</v>
      </c>
      <c r="G243" s="2">
        <v>9.4000000000000004E-3</v>
      </c>
      <c r="H243" s="2">
        <f>Table1[[#This Row],[İade Miktarı]]/Table1[[#This Row],[Satış Miktarı]]</f>
        <v>9.3749999999999997E-3</v>
      </c>
      <c r="I243" t="s">
        <v>18</v>
      </c>
      <c r="J243">
        <v>22</v>
      </c>
      <c r="K243">
        <f>Table1[[#This Row],[Satış Miktarı]]*Table1[[#This Row],[Satış Fiyatı]]</f>
        <v>77440</v>
      </c>
      <c r="L243" t="s">
        <v>19</v>
      </c>
      <c r="M243" t="s">
        <v>25</v>
      </c>
      <c r="N243" t="s">
        <v>50</v>
      </c>
      <c r="O243">
        <v>0.2</v>
      </c>
      <c r="P243" t="s">
        <v>27</v>
      </c>
      <c r="Q243" t="s">
        <v>72</v>
      </c>
    </row>
    <row r="244" spans="1:17">
      <c r="A244">
        <v>287509539</v>
      </c>
      <c r="B244" t="s">
        <v>51</v>
      </c>
      <c r="C244" t="s">
        <v>17</v>
      </c>
      <c r="D244" s="1">
        <v>48380</v>
      </c>
      <c r="E244">
        <v>3805</v>
      </c>
      <c r="F244">
        <v>49</v>
      </c>
      <c r="G244" s="2">
        <v>1.29E-2</v>
      </c>
      <c r="H244" s="2">
        <f>Table1[[#This Row],[İade Miktarı]]/Table1[[#This Row],[Satış Miktarı]]</f>
        <v>1.2877792378449408E-2</v>
      </c>
      <c r="I244" t="s">
        <v>18</v>
      </c>
      <c r="J244">
        <v>20</v>
      </c>
      <c r="K244">
        <f>Table1[[#This Row],[Satış Miktarı]]*Table1[[#This Row],[Satış Fiyatı]]</f>
        <v>76100</v>
      </c>
      <c r="L244" t="s">
        <v>19</v>
      </c>
      <c r="M244" t="s">
        <v>30</v>
      </c>
      <c r="N244" t="s">
        <v>43</v>
      </c>
      <c r="O244">
        <v>0.2</v>
      </c>
      <c r="P244" t="s">
        <v>22</v>
      </c>
      <c r="Q244" t="s">
        <v>77</v>
      </c>
    </row>
    <row r="245" spans="1:17">
      <c r="A245">
        <v>243109829</v>
      </c>
      <c r="B245" t="s">
        <v>54</v>
      </c>
      <c r="C245" t="s">
        <v>34</v>
      </c>
      <c r="D245" s="1">
        <v>47779</v>
      </c>
      <c r="E245">
        <v>3839</v>
      </c>
      <c r="F245">
        <v>42</v>
      </c>
      <c r="G245" s="2">
        <v>1.09E-2</v>
      </c>
      <c r="H245" s="2">
        <f>Table1[[#This Row],[İade Miktarı]]/Table1[[#This Row],[Satış Miktarı]]</f>
        <v>1.094034904923157E-2</v>
      </c>
      <c r="I245" t="s">
        <v>18</v>
      </c>
      <c r="J245">
        <v>49</v>
      </c>
      <c r="K245">
        <f>Table1[[#This Row],[Satış Miktarı]]*Table1[[#This Row],[Satış Fiyatı]]</f>
        <v>188111</v>
      </c>
      <c r="L245" t="s">
        <v>19</v>
      </c>
      <c r="M245" t="s">
        <v>35</v>
      </c>
      <c r="N245" t="s">
        <v>39</v>
      </c>
      <c r="O245">
        <v>0.2</v>
      </c>
      <c r="P245" t="s">
        <v>27</v>
      </c>
      <c r="Q245" t="s">
        <v>48</v>
      </c>
    </row>
    <row r="246" spans="1:17">
      <c r="A246">
        <v>732202292</v>
      </c>
      <c r="B246" t="s">
        <v>57</v>
      </c>
      <c r="C246" t="s">
        <v>34</v>
      </c>
      <c r="D246" s="1">
        <v>48294</v>
      </c>
      <c r="E246">
        <v>3138</v>
      </c>
      <c r="F246">
        <v>38</v>
      </c>
      <c r="G246" s="2">
        <v>1.21E-2</v>
      </c>
      <c r="H246" s="2">
        <f>Table1[[#This Row],[İade Miktarı]]/Table1[[#This Row],[Satış Miktarı]]</f>
        <v>1.2109623964308477E-2</v>
      </c>
      <c r="I246" t="s">
        <v>18</v>
      </c>
      <c r="J246">
        <v>37</v>
      </c>
      <c r="K246">
        <f>Table1[[#This Row],[Satış Miktarı]]*Table1[[#This Row],[Satış Fiyatı]]</f>
        <v>116106</v>
      </c>
      <c r="L246" t="s">
        <v>19</v>
      </c>
      <c r="M246" t="s">
        <v>38</v>
      </c>
      <c r="N246" t="s">
        <v>50</v>
      </c>
      <c r="O246">
        <v>0.2</v>
      </c>
      <c r="P246" t="s">
        <v>27</v>
      </c>
      <c r="Q246" t="s">
        <v>69</v>
      </c>
    </row>
    <row r="247" spans="1:17">
      <c r="A247">
        <v>323846627</v>
      </c>
      <c r="B247" t="s">
        <v>59</v>
      </c>
      <c r="C247" t="s">
        <v>17</v>
      </c>
      <c r="D247" s="1">
        <v>48422</v>
      </c>
      <c r="E247">
        <v>4380</v>
      </c>
      <c r="F247">
        <v>14</v>
      </c>
      <c r="G247" s="2">
        <v>3.2000000000000002E-3</v>
      </c>
      <c r="H247" s="2">
        <f>Table1[[#This Row],[İade Miktarı]]/Table1[[#This Row],[Satış Miktarı]]</f>
        <v>3.1963470319634705E-3</v>
      </c>
      <c r="I247" t="s">
        <v>18</v>
      </c>
      <c r="J247">
        <v>36</v>
      </c>
      <c r="K247">
        <f>Table1[[#This Row],[Satış Miktarı]]*Table1[[#This Row],[Satış Fiyatı]]</f>
        <v>157680</v>
      </c>
      <c r="L247" t="s">
        <v>19</v>
      </c>
      <c r="M247" t="s">
        <v>42</v>
      </c>
      <c r="N247" t="s">
        <v>43</v>
      </c>
      <c r="O247">
        <v>0.2</v>
      </c>
      <c r="P247" t="s">
        <v>22</v>
      </c>
      <c r="Q247" t="s">
        <v>69</v>
      </c>
    </row>
    <row r="248" spans="1:17">
      <c r="A248">
        <v>325007338</v>
      </c>
      <c r="B248" t="s">
        <v>63</v>
      </c>
      <c r="C248" t="s">
        <v>17</v>
      </c>
      <c r="D248" s="1">
        <v>48520</v>
      </c>
      <c r="E248">
        <v>2843</v>
      </c>
      <c r="F248">
        <v>35</v>
      </c>
      <c r="G248" s="2">
        <v>1.23E-2</v>
      </c>
      <c r="H248" s="2">
        <f>Table1[[#This Row],[İade Miktarı]]/Table1[[#This Row],[Satış Miktarı]]</f>
        <v>1.2310939148786493E-2</v>
      </c>
      <c r="I248" t="s">
        <v>18</v>
      </c>
      <c r="J248">
        <v>24</v>
      </c>
      <c r="K248">
        <f>Table1[[#This Row],[Satış Miktarı]]*Table1[[#This Row],[Satış Fiyatı]]</f>
        <v>68232</v>
      </c>
      <c r="L248" t="s">
        <v>19</v>
      </c>
      <c r="M248" t="s">
        <v>46</v>
      </c>
      <c r="N248" t="s">
        <v>26</v>
      </c>
      <c r="O248">
        <v>0.2</v>
      </c>
      <c r="P248" t="s">
        <v>22</v>
      </c>
      <c r="Q248" t="s">
        <v>66</v>
      </c>
    </row>
    <row r="249" spans="1:17">
      <c r="A249">
        <v>789408484</v>
      </c>
      <c r="B249" t="s">
        <v>67</v>
      </c>
      <c r="C249" t="s">
        <v>17</v>
      </c>
      <c r="D249" s="1">
        <v>47907</v>
      </c>
      <c r="E249">
        <v>3137</v>
      </c>
      <c r="F249">
        <v>25</v>
      </c>
      <c r="G249" s="2">
        <v>8.0000000000000002E-3</v>
      </c>
      <c r="H249" s="2">
        <f>Table1[[#This Row],[İade Miktarı]]/Table1[[#This Row],[Satış Miktarı]]</f>
        <v>7.9693975135479763E-3</v>
      </c>
      <c r="I249" t="s">
        <v>18</v>
      </c>
      <c r="J249">
        <v>44</v>
      </c>
      <c r="K249">
        <f>Table1[[#This Row],[Satış Miktarı]]*Table1[[#This Row],[Satış Fiyatı]]</f>
        <v>138028</v>
      </c>
      <c r="L249" t="s">
        <v>19</v>
      </c>
      <c r="M249" t="s">
        <v>46</v>
      </c>
      <c r="N249" t="s">
        <v>47</v>
      </c>
      <c r="O249">
        <v>0.2</v>
      </c>
      <c r="P249" t="s">
        <v>22</v>
      </c>
      <c r="Q249" t="s">
        <v>69</v>
      </c>
    </row>
    <row r="250" spans="1:17">
      <c r="A250">
        <v>483321534</v>
      </c>
      <c r="B250" t="s">
        <v>70</v>
      </c>
      <c r="C250" t="s">
        <v>17</v>
      </c>
      <c r="D250" s="1">
        <v>47879</v>
      </c>
      <c r="E250">
        <v>1905</v>
      </c>
      <c r="F250">
        <v>43</v>
      </c>
      <c r="G250" s="2">
        <v>2.2599999999999999E-2</v>
      </c>
      <c r="H250" s="2">
        <f>Table1[[#This Row],[İade Miktarı]]/Table1[[#This Row],[Satış Miktarı]]</f>
        <v>2.2572178477690288E-2</v>
      </c>
      <c r="I250" t="s">
        <v>45</v>
      </c>
      <c r="J250">
        <v>22</v>
      </c>
      <c r="K250">
        <f>Table1[[#This Row],[Satış Miktarı]]*Table1[[#This Row],[Satış Fiyatı]]</f>
        <v>41910</v>
      </c>
      <c r="L250" t="s">
        <v>19</v>
      </c>
      <c r="M250" t="s">
        <v>52</v>
      </c>
      <c r="N250" t="s">
        <v>61</v>
      </c>
      <c r="O250">
        <v>0.2</v>
      </c>
      <c r="P250" t="s">
        <v>27</v>
      </c>
      <c r="Q250" t="s">
        <v>53</v>
      </c>
    </row>
    <row r="251" spans="1:17">
      <c r="A251">
        <v>963364321</v>
      </c>
      <c r="B251" t="s">
        <v>73</v>
      </c>
      <c r="C251" t="s">
        <v>17</v>
      </c>
      <c r="D251" s="1">
        <v>47553</v>
      </c>
      <c r="E251">
        <v>1124</v>
      </c>
      <c r="F251">
        <v>20</v>
      </c>
      <c r="G251" s="2">
        <v>1.78E-2</v>
      </c>
      <c r="H251" s="2">
        <f>Table1[[#This Row],[İade Miktarı]]/Table1[[#This Row],[Satış Miktarı]]</f>
        <v>1.7793594306049824E-2</v>
      </c>
      <c r="I251" t="s">
        <v>18</v>
      </c>
      <c r="J251">
        <v>31</v>
      </c>
      <c r="K251">
        <f>Table1[[#This Row],[Satış Miktarı]]*Table1[[#This Row],[Satış Fiyatı]]</f>
        <v>34844</v>
      </c>
      <c r="L251" t="s">
        <v>19</v>
      </c>
      <c r="M251" t="s">
        <v>55</v>
      </c>
      <c r="N251" t="s">
        <v>47</v>
      </c>
      <c r="O251">
        <v>0.2</v>
      </c>
      <c r="P251" t="s">
        <v>22</v>
      </c>
      <c r="Q251" t="s">
        <v>75</v>
      </c>
    </row>
    <row r="252" spans="1:17">
      <c r="A252">
        <v>621905664</v>
      </c>
      <c r="B252" t="s">
        <v>16</v>
      </c>
      <c r="C252" t="s">
        <v>17</v>
      </c>
      <c r="D252" s="1">
        <v>47641</v>
      </c>
      <c r="E252">
        <v>1498</v>
      </c>
      <c r="F252">
        <v>22</v>
      </c>
      <c r="G252" s="2">
        <v>1.47E-2</v>
      </c>
      <c r="H252" s="2">
        <f>Table1[[#This Row],[İade Miktarı]]/Table1[[#This Row],[Satış Miktarı]]</f>
        <v>1.4686248331108143E-2</v>
      </c>
      <c r="I252" t="s">
        <v>18</v>
      </c>
      <c r="J252">
        <v>46</v>
      </c>
      <c r="K252">
        <f>Table1[[#This Row],[Satış Miktarı]]*Table1[[#This Row],[Satış Fiyatı]]</f>
        <v>68908</v>
      </c>
      <c r="L252" t="s">
        <v>19</v>
      </c>
      <c r="M252" t="s">
        <v>58</v>
      </c>
      <c r="N252" t="s">
        <v>21</v>
      </c>
      <c r="O252">
        <v>0.2</v>
      </c>
      <c r="P252" t="s">
        <v>22</v>
      </c>
      <c r="Q252" t="s">
        <v>32</v>
      </c>
    </row>
    <row r="253" spans="1:17">
      <c r="A253">
        <v>406697823</v>
      </c>
      <c r="B253" t="s">
        <v>24</v>
      </c>
      <c r="C253" t="s">
        <v>17</v>
      </c>
      <c r="D253" s="1">
        <v>47529</v>
      </c>
      <c r="E253">
        <v>2421</v>
      </c>
      <c r="F253">
        <v>11</v>
      </c>
      <c r="G253" s="2">
        <v>4.4999999999999997E-3</v>
      </c>
      <c r="H253" s="2">
        <f>Table1[[#This Row],[İade Miktarı]]/Table1[[#This Row],[Satış Miktarı]]</f>
        <v>4.543577034283354E-3</v>
      </c>
      <c r="I253" t="s">
        <v>18</v>
      </c>
      <c r="J253">
        <v>37</v>
      </c>
      <c r="K253">
        <f>Table1[[#This Row],[Satış Miktarı]]*Table1[[#This Row],[Satış Fiyatı]]</f>
        <v>89577</v>
      </c>
      <c r="L253" t="s">
        <v>19</v>
      </c>
      <c r="M253" t="s">
        <v>60</v>
      </c>
      <c r="N253" t="s">
        <v>47</v>
      </c>
      <c r="O253">
        <v>0.2</v>
      </c>
      <c r="P253" t="s">
        <v>22</v>
      </c>
      <c r="Q253" t="s">
        <v>36</v>
      </c>
    </row>
    <row r="254" spans="1:17">
      <c r="A254">
        <v>978656862</v>
      </c>
      <c r="B254" t="s">
        <v>29</v>
      </c>
      <c r="C254" t="s">
        <v>17</v>
      </c>
      <c r="D254" s="1">
        <v>47879</v>
      </c>
      <c r="E254">
        <v>4084</v>
      </c>
      <c r="F254">
        <v>25</v>
      </c>
      <c r="G254" s="2">
        <v>6.1000000000000004E-3</v>
      </c>
      <c r="H254" s="2">
        <f>Table1[[#This Row],[İade Miktarı]]/Table1[[#This Row],[Satış Miktarı]]</f>
        <v>6.1214495592556315E-3</v>
      </c>
      <c r="I254" t="s">
        <v>18</v>
      </c>
      <c r="J254">
        <v>33</v>
      </c>
      <c r="K254">
        <f>Table1[[#This Row],[Satış Miktarı]]*Table1[[#This Row],[Satış Fiyatı]]</f>
        <v>134772</v>
      </c>
      <c r="L254" t="s">
        <v>19</v>
      </c>
      <c r="M254" t="s">
        <v>64</v>
      </c>
      <c r="N254" t="s">
        <v>78</v>
      </c>
      <c r="O254">
        <v>0.2</v>
      </c>
      <c r="P254" t="s">
        <v>27</v>
      </c>
      <c r="Q254" t="s">
        <v>23</v>
      </c>
    </row>
    <row r="255" spans="1:17">
      <c r="A255">
        <v>48759631</v>
      </c>
      <c r="B255" t="s">
        <v>33</v>
      </c>
      <c r="C255" t="s">
        <v>34</v>
      </c>
      <c r="D255" s="1">
        <v>48503</v>
      </c>
      <c r="E255">
        <v>3095</v>
      </c>
      <c r="F255">
        <v>39</v>
      </c>
      <c r="G255" s="2">
        <v>1.26E-2</v>
      </c>
      <c r="H255" s="2">
        <f>Table1[[#This Row],[İade Miktarı]]/Table1[[#This Row],[Satış Miktarı]]</f>
        <v>1.2600969305331179E-2</v>
      </c>
      <c r="I255" t="s">
        <v>45</v>
      </c>
      <c r="J255">
        <v>43</v>
      </c>
      <c r="K255">
        <f>Table1[[#This Row],[Satış Miktarı]]*Table1[[#This Row],[Satış Fiyatı]]</f>
        <v>133085</v>
      </c>
      <c r="L255" t="s">
        <v>19</v>
      </c>
      <c r="M255" t="s">
        <v>68</v>
      </c>
      <c r="N255" t="s">
        <v>43</v>
      </c>
      <c r="O255">
        <v>0.2</v>
      </c>
      <c r="P255" t="s">
        <v>27</v>
      </c>
      <c r="Q255" t="s">
        <v>40</v>
      </c>
    </row>
    <row r="256" spans="1:17">
      <c r="A256">
        <v>323835594</v>
      </c>
      <c r="B256" t="s">
        <v>37</v>
      </c>
      <c r="C256" t="s">
        <v>34</v>
      </c>
      <c r="D256" s="1">
        <v>47489</v>
      </c>
      <c r="E256">
        <v>4490</v>
      </c>
      <c r="F256">
        <v>22</v>
      </c>
      <c r="G256" s="2">
        <v>4.8999999999999998E-3</v>
      </c>
      <c r="H256" s="2">
        <f>Table1[[#This Row],[İade Miktarı]]/Table1[[#This Row],[Satış Miktarı]]</f>
        <v>4.8997772828507794E-3</v>
      </c>
      <c r="I256" t="s">
        <v>18</v>
      </c>
      <c r="J256">
        <v>45</v>
      </c>
      <c r="K256">
        <f>Table1[[#This Row],[Satış Miktarı]]*Table1[[#This Row],[Satış Fiyatı]]</f>
        <v>202050</v>
      </c>
      <c r="L256" t="s">
        <v>19</v>
      </c>
      <c r="M256" t="s">
        <v>71</v>
      </c>
      <c r="N256" t="s">
        <v>65</v>
      </c>
      <c r="O256">
        <v>0.2</v>
      </c>
      <c r="P256" t="s">
        <v>22</v>
      </c>
      <c r="Q256" t="s">
        <v>32</v>
      </c>
    </row>
    <row r="257" spans="1:17">
      <c r="A257">
        <v>85214067</v>
      </c>
      <c r="B257" t="s">
        <v>41</v>
      </c>
      <c r="C257" t="s">
        <v>17</v>
      </c>
      <c r="D257" s="1">
        <v>47517</v>
      </c>
      <c r="E257">
        <v>2044</v>
      </c>
      <c r="F257">
        <v>15</v>
      </c>
      <c r="G257" s="2">
        <v>7.3000000000000001E-3</v>
      </c>
      <c r="H257" s="2">
        <f>Table1[[#This Row],[İade Miktarı]]/Table1[[#This Row],[Satış Miktarı]]</f>
        <v>7.3385518590998039E-3</v>
      </c>
      <c r="I257" t="s">
        <v>18</v>
      </c>
      <c r="J257">
        <v>35</v>
      </c>
      <c r="K257">
        <f>Table1[[#This Row],[Satış Miktarı]]*Table1[[#This Row],[Satış Fiyatı]]</f>
        <v>71540</v>
      </c>
      <c r="L257" t="s">
        <v>19</v>
      </c>
      <c r="M257" t="s">
        <v>74</v>
      </c>
      <c r="N257" t="s">
        <v>43</v>
      </c>
      <c r="O257">
        <v>0.2</v>
      </c>
      <c r="P257" t="s">
        <v>27</v>
      </c>
      <c r="Q257" t="s">
        <v>66</v>
      </c>
    </row>
    <row r="258" spans="1:17">
      <c r="A258">
        <v>582419811</v>
      </c>
      <c r="B258" t="s">
        <v>44</v>
      </c>
      <c r="C258" t="s">
        <v>17</v>
      </c>
      <c r="D258" s="1">
        <v>47607</v>
      </c>
      <c r="E258">
        <v>3522</v>
      </c>
      <c r="F258">
        <v>30</v>
      </c>
      <c r="G258" s="2">
        <v>8.5000000000000006E-3</v>
      </c>
      <c r="H258" s="2">
        <f>Table1[[#This Row],[İade Miktarı]]/Table1[[#This Row],[Satış Miktarı]]</f>
        <v>8.5178875638841564E-3</v>
      </c>
      <c r="I258" t="s">
        <v>18</v>
      </c>
      <c r="J258">
        <v>27</v>
      </c>
      <c r="K258">
        <f>Table1[[#This Row],[Satış Miktarı]]*Table1[[#This Row],[Satış Fiyatı]]</f>
        <v>95094</v>
      </c>
      <c r="L258" t="s">
        <v>19</v>
      </c>
      <c r="M258" t="s">
        <v>20</v>
      </c>
      <c r="N258" t="s">
        <v>31</v>
      </c>
      <c r="O258">
        <v>0.2</v>
      </c>
      <c r="P258" t="s">
        <v>22</v>
      </c>
      <c r="Q258" t="s">
        <v>40</v>
      </c>
    </row>
    <row r="259" spans="1:17">
      <c r="A259">
        <v>633226472</v>
      </c>
      <c r="B259" t="s">
        <v>49</v>
      </c>
      <c r="C259" t="s">
        <v>34</v>
      </c>
      <c r="D259" s="1">
        <v>48379</v>
      </c>
      <c r="E259">
        <v>3071</v>
      </c>
      <c r="F259">
        <v>21</v>
      </c>
      <c r="G259" s="2">
        <v>6.7999999999999996E-3</v>
      </c>
      <c r="H259" s="2">
        <f>Table1[[#This Row],[İade Miktarı]]/Table1[[#This Row],[Satış Miktarı]]</f>
        <v>6.8381634646694891E-3</v>
      </c>
      <c r="I259" t="s">
        <v>18</v>
      </c>
      <c r="J259">
        <v>48</v>
      </c>
      <c r="K259">
        <f>Table1[[#This Row],[Satış Miktarı]]*Table1[[#This Row],[Satış Fiyatı]]</f>
        <v>147408</v>
      </c>
      <c r="L259" t="s">
        <v>19</v>
      </c>
      <c r="M259" t="s">
        <v>25</v>
      </c>
      <c r="N259" t="s">
        <v>78</v>
      </c>
      <c r="O259">
        <v>0.2</v>
      </c>
      <c r="P259" t="s">
        <v>27</v>
      </c>
      <c r="Q259" t="s">
        <v>77</v>
      </c>
    </row>
    <row r="260" spans="1:17">
      <c r="A260">
        <v>716113475</v>
      </c>
      <c r="B260" t="s">
        <v>51</v>
      </c>
      <c r="C260" t="s">
        <v>17</v>
      </c>
      <c r="D260" s="1">
        <v>48011</v>
      </c>
      <c r="E260">
        <v>2012</v>
      </c>
      <c r="F260">
        <v>45</v>
      </c>
      <c r="G260" s="2">
        <v>2.24E-2</v>
      </c>
      <c r="H260" s="2">
        <f>Table1[[#This Row],[İade Miktarı]]/Table1[[#This Row],[Satış Miktarı]]</f>
        <v>2.2365805168986085E-2</v>
      </c>
      <c r="I260" t="s">
        <v>18</v>
      </c>
      <c r="J260">
        <v>25</v>
      </c>
      <c r="K260">
        <f>Table1[[#This Row],[Satış Miktarı]]*Table1[[#This Row],[Satış Fiyatı]]</f>
        <v>50300</v>
      </c>
      <c r="L260" t="s">
        <v>19</v>
      </c>
      <c r="M260" t="s">
        <v>30</v>
      </c>
      <c r="N260" t="s">
        <v>39</v>
      </c>
      <c r="O260">
        <v>0.2</v>
      </c>
      <c r="P260" t="s">
        <v>27</v>
      </c>
      <c r="Q260" t="s">
        <v>62</v>
      </c>
    </row>
    <row r="261" spans="1:17">
      <c r="A261">
        <v>551941495</v>
      </c>
      <c r="B261" t="s">
        <v>54</v>
      </c>
      <c r="C261" t="s">
        <v>34</v>
      </c>
      <c r="D261" s="1">
        <v>48262</v>
      </c>
      <c r="E261">
        <v>4555</v>
      </c>
      <c r="F261">
        <v>38</v>
      </c>
      <c r="G261" s="2">
        <v>8.3000000000000001E-3</v>
      </c>
      <c r="H261" s="2">
        <f>Table1[[#This Row],[İade Miktarı]]/Table1[[#This Row],[Satış Miktarı]]</f>
        <v>8.3424807903402856E-3</v>
      </c>
      <c r="I261" t="s">
        <v>45</v>
      </c>
      <c r="J261">
        <v>36</v>
      </c>
      <c r="K261">
        <f>Table1[[#This Row],[Satış Miktarı]]*Table1[[#This Row],[Satış Fiyatı]]</f>
        <v>163980</v>
      </c>
      <c r="L261" t="s">
        <v>19</v>
      </c>
      <c r="M261" t="s">
        <v>35</v>
      </c>
      <c r="N261" t="s">
        <v>26</v>
      </c>
      <c r="O261">
        <v>0.2</v>
      </c>
      <c r="P261" t="s">
        <v>22</v>
      </c>
      <c r="Q261" t="s">
        <v>82</v>
      </c>
    </row>
    <row r="262" spans="1:17">
      <c r="A262">
        <v>470546714</v>
      </c>
      <c r="B262" t="s">
        <v>57</v>
      </c>
      <c r="C262" t="s">
        <v>34</v>
      </c>
      <c r="D262" s="1">
        <v>47661</v>
      </c>
      <c r="E262">
        <v>4212</v>
      </c>
      <c r="F262">
        <v>30</v>
      </c>
      <c r="G262" s="2">
        <v>7.1000000000000004E-3</v>
      </c>
      <c r="H262" s="2">
        <f>Table1[[#This Row],[İade Miktarı]]/Table1[[#This Row],[Satış Miktarı]]</f>
        <v>7.1225071225071226E-3</v>
      </c>
      <c r="I262" t="s">
        <v>18</v>
      </c>
      <c r="J262">
        <v>42</v>
      </c>
      <c r="K262">
        <f>Table1[[#This Row],[Satış Miktarı]]*Table1[[#This Row],[Satış Fiyatı]]</f>
        <v>176904</v>
      </c>
      <c r="L262" t="s">
        <v>19</v>
      </c>
      <c r="M262" t="s">
        <v>38</v>
      </c>
      <c r="N262" t="s">
        <v>65</v>
      </c>
      <c r="O262">
        <v>0.2</v>
      </c>
      <c r="P262" t="s">
        <v>22</v>
      </c>
      <c r="Q262" t="s">
        <v>56</v>
      </c>
    </row>
    <row r="263" spans="1:17">
      <c r="A263">
        <v>529666115</v>
      </c>
      <c r="B263" t="s">
        <v>59</v>
      </c>
      <c r="C263" t="s">
        <v>17</v>
      </c>
      <c r="D263" s="1">
        <v>48381</v>
      </c>
      <c r="E263">
        <v>2078</v>
      </c>
      <c r="F263">
        <v>38</v>
      </c>
      <c r="G263" s="2">
        <v>1.83E-2</v>
      </c>
      <c r="H263" s="2">
        <f>Table1[[#This Row],[İade Miktarı]]/Table1[[#This Row],[Satış Miktarı]]</f>
        <v>1.8286814244465831E-2</v>
      </c>
      <c r="I263" t="s">
        <v>45</v>
      </c>
      <c r="J263">
        <v>45</v>
      </c>
      <c r="K263">
        <f>Table1[[#This Row],[Satış Miktarı]]*Table1[[#This Row],[Satış Fiyatı]]</f>
        <v>93510</v>
      </c>
      <c r="L263" t="s">
        <v>19</v>
      </c>
      <c r="M263" t="s">
        <v>42</v>
      </c>
      <c r="N263" t="s">
        <v>61</v>
      </c>
      <c r="O263">
        <v>0.2</v>
      </c>
      <c r="P263" t="s">
        <v>27</v>
      </c>
      <c r="Q263" t="s">
        <v>82</v>
      </c>
    </row>
    <row r="264" spans="1:17">
      <c r="A264">
        <v>161129733</v>
      </c>
      <c r="B264" t="s">
        <v>63</v>
      </c>
      <c r="C264" t="s">
        <v>17</v>
      </c>
      <c r="D264" s="1">
        <v>48324</v>
      </c>
      <c r="E264">
        <v>4874</v>
      </c>
      <c r="F264">
        <v>49</v>
      </c>
      <c r="G264" s="2">
        <v>1.01E-2</v>
      </c>
      <c r="H264" s="2">
        <f>Table1[[#This Row],[İade Miktarı]]/Table1[[#This Row],[Satış Miktarı]]</f>
        <v>1.0053344275748872E-2</v>
      </c>
      <c r="I264" t="s">
        <v>45</v>
      </c>
      <c r="J264">
        <v>47</v>
      </c>
      <c r="K264">
        <f>Table1[[#This Row],[Satış Miktarı]]*Table1[[#This Row],[Satış Fiyatı]]</f>
        <v>229078</v>
      </c>
      <c r="L264" t="s">
        <v>19</v>
      </c>
      <c r="M264" t="s">
        <v>46</v>
      </c>
      <c r="N264" t="s">
        <v>21</v>
      </c>
      <c r="O264">
        <v>0.2</v>
      </c>
      <c r="P264" t="s">
        <v>22</v>
      </c>
      <c r="Q264" t="s">
        <v>28</v>
      </c>
    </row>
    <row r="265" spans="1:17">
      <c r="A265">
        <v>99107275</v>
      </c>
      <c r="B265" t="s">
        <v>29</v>
      </c>
      <c r="C265" t="s">
        <v>17</v>
      </c>
      <c r="D265" s="1">
        <v>47643</v>
      </c>
      <c r="E265">
        <v>2202</v>
      </c>
      <c r="F265">
        <v>18</v>
      </c>
      <c r="G265" s="2">
        <v>8.2000000000000007E-3</v>
      </c>
      <c r="H265" s="2">
        <f>Table1[[#This Row],[İade Miktarı]]/Table1[[#This Row],[Satış Miktarı]]</f>
        <v>8.1743869209809257E-3</v>
      </c>
      <c r="I265" t="s">
        <v>18</v>
      </c>
      <c r="J265">
        <v>38</v>
      </c>
      <c r="K265">
        <f>Table1[[#This Row],[Satış Miktarı]]*Table1[[#This Row],[Satış Fiyatı]]</f>
        <v>83676</v>
      </c>
      <c r="L265" t="s">
        <v>19</v>
      </c>
      <c r="M265" t="s">
        <v>46</v>
      </c>
      <c r="N265" t="s">
        <v>78</v>
      </c>
      <c r="O265">
        <v>0.2</v>
      </c>
      <c r="P265" t="s">
        <v>22</v>
      </c>
      <c r="Q265" t="s">
        <v>69</v>
      </c>
    </row>
    <row r="266" spans="1:17">
      <c r="A266">
        <v>931846150</v>
      </c>
      <c r="B266" t="s">
        <v>33</v>
      </c>
      <c r="C266" t="s">
        <v>34</v>
      </c>
      <c r="D266" s="1">
        <v>47936</v>
      </c>
      <c r="E266">
        <v>1950</v>
      </c>
      <c r="F266">
        <v>39</v>
      </c>
      <c r="G266" s="2">
        <v>0.02</v>
      </c>
      <c r="H266" s="2">
        <f>Table1[[#This Row],[İade Miktarı]]/Table1[[#This Row],[Satış Miktarı]]</f>
        <v>0.02</v>
      </c>
      <c r="I266" t="s">
        <v>18</v>
      </c>
      <c r="J266">
        <v>37</v>
      </c>
      <c r="K266">
        <f>Table1[[#This Row],[Satış Miktarı]]*Table1[[#This Row],[Satış Fiyatı]]</f>
        <v>72150</v>
      </c>
      <c r="L266" t="s">
        <v>19</v>
      </c>
      <c r="M266" t="s">
        <v>52</v>
      </c>
      <c r="N266" t="s">
        <v>39</v>
      </c>
      <c r="O266">
        <v>0.2</v>
      </c>
      <c r="P266" t="s">
        <v>27</v>
      </c>
      <c r="Q266" t="s">
        <v>40</v>
      </c>
    </row>
    <row r="267" spans="1:17">
      <c r="A267">
        <v>633393832</v>
      </c>
      <c r="B267" t="s">
        <v>37</v>
      </c>
      <c r="C267" t="s">
        <v>34</v>
      </c>
      <c r="D267" s="1">
        <v>47743</v>
      </c>
      <c r="E267">
        <v>1552</v>
      </c>
      <c r="F267">
        <v>30</v>
      </c>
      <c r="G267" s="2">
        <v>1.9300000000000001E-2</v>
      </c>
      <c r="H267" s="2">
        <f>Table1[[#This Row],[İade Miktarı]]/Table1[[#This Row],[Satış Miktarı]]</f>
        <v>1.9329896907216496E-2</v>
      </c>
      <c r="I267" t="s">
        <v>18</v>
      </c>
      <c r="J267">
        <v>33</v>
      </c>
      <c r="K267">
        <f>Table1[[#This Row],[Satış Miktarı]]*Table1[[#This Row],[Satış Fiyatı]]</f>
        <v>51216</v>
      </c>
      <c r="L267" t="s">
        <v>19</v>
      </c>
      <c r="M267" t="s">
        <v>55</v>
      </c>
      <c r="N267" t="s">
        <v>76</v>
      </c>
      <c r="O267">
        <v>0.2</v>
      </c>
      <c r="P267" t="s">
        <v>27</v>
      </c>
      <c r="Q267" t="s">
        <v>83</v>
      </c>
    </row>
    <row r="268" spans="1:17">
      <c r="A268">
        <v>182030758</v>
      </c>
      <c r="B268" t="s">
        <v>41</v>
      </c>
      <c r="C268" t="s">
        <v>17</v>
      </c>
      <c r="D268" s="1">
        <v>48006</v>
      </c>
      <c r="E268">
        <v>3959</v>
      </c>
      <c r="F268">
        <v>46</v>
      </c>
      <c r="G268" s="2">
        <v>1.1599999999999999E-2</v>
      </c>
      <c r="H268" s="2">
        <f>Table1[[#This Row],[İade Miktarı]]/Table1[[#This Row],[Satış Miktarı]]</f>
        <v>1.1619095731245263E-2</v>
      </c>
      <c r="I268" t="s">
        <v>18</v>
      </c>
      <c r="J268">
        <v>33</v>
      </c>
      <c r="K268">
        <f>Table1[[#This Row],[Satış Miktarı]]*Table1[[#This Row],[Satış Fiyatı]]</f>
        <v>130647</v>
      </c>
      <c r="L268" t="s">
        <v>19</v>
      </c>
      <c r="M268" t="s">
        <v>58</v>
      </c>
      <c r="N268" t="s">
        <v>26</v>
      </c>
      <c r="O268">
        <v>0.2</v>
      </c>
      <c r="P268" t="s">
        <v>27</v>
      </c>
      <c r="Q268" t="s">
        <v>40</v>
      </c>
    </row>
    <row r="269" spans="1:17">
      <c r="A269">
        <v>727393723</v>
      </c>
      <c r="B269" t="s">
        <v>44</v>
      </c>
      <c r="C269" t="s">
        <v>17</v>
      </c>
      <c r="D269" s="1">
        <v>48168</v>
      </c>
      <c r="E269">
        <v>2416</v>
      </c>
      <c r="F269">
        <v>44</v>
      </c>
      <c r="G269" s="2">
        <v>1.8200000000000001E-2</v>
      </c>
      <c r="H269" s="2">
        <f>Table1[[#This Row],[İade Miktarı]]/Table1[[#This Row],[Satış Miktarı]]</f>
        <v>1.8211920529801324E-2</v>
      </c>
      <c r="I269" t="s">
        <v>18</v>
      </c>
      <c r="J269">
        <v>28</v>
      </c>
      <c r="K269">
        <f>Table1[[#This Row],[Satış Miktarı]]*Table1[[#This Row],[Satış Fiyatı]]</f>
        <v>67648</v>
      </c>
      <c r="L269" t="s">
        <v>19</v>
      </c>
      <c r="M269" t="s">
        <v>60</v>
      </c>
      <c r="N269" t="s">
        <v>50</v>
      </c>
      <c r="O269">
        <v>0.2</v>
      </c>
      <c r="P269" t="s">
        <v>27</v>
      </c>
      <c r="Q269" t="s">
        <v>77</v>
      </c>
    </row>
    <row r="270" spans="1:17">
      <c r="A270">
        <v>346920927</v>
      </c>
      <c r="B270" t="s">
        <v>49</v>
      </c>
      <c r="C270" t="s">
        <v>34</v>
      </c>
      <c r="D270" s="1">
        <v>48561</v>
      </c>
      <c r="E270">
        <v>3385</v>
      </c>
      <c r="F270">
        <v>33</v>
      </c>
      <c r="G270" s="2">
        <v>9.7000000000000003E-3</v>
      </c>
      <c r="H270" s="2">
        <f>Table1[[#This Row],[İade Miktarı]]/Table1[[#This Row],[Satış Miktarı]]</f>
        <v>9.7488921713441649E-3</v>
      </c>
      <c r="I270" t="s">
        <v>18</v>
      </c>
      <c r="J270">
        <v>35</v>
      </c>
      <c r="K270">
        <f>Table1[[#This Row],[Satış Miktarı]]*Table1[[#This Row],[Satış Fiyatı]]</f>
        <v>118475</v>
      </c>
      <c r="L270" t="s">
        <v>19</v>
      </c>
      <c r="M270" t="s">
        <v>64</v>
      </c>
      <c r="N270" t="s">
        <v>76</v>
      </c>
      <c r="O270">
        <v>0.2</v>
      </c>
      <c r="P270" t="s">
        <v>22</v>
      </c>
      <c r="Q270" t="s">
        <v>82</v>
      </c>
    </row>
    <row r="271" spans="1:17">
      <c r="A271">
        <v>736238785</v>
      </c>
      <c r="B271" t="s">
        <v>51</v>
      </c>
      <c r="C271" t="s">
        <v>17</v>
      </c>
      <c r="D271" s="1">
        <v>47876</v>
      </c>
      <c r="E271">
        <v>4123</v>
      </c>
      <c r="F271">
        <v>23</v>
      </c>
      <c r="G271" s="2">
        <v>5.5999999999999999E-3</v>
      </c>
      <c r="H271" s="2">
        <f>Table1[[#This Row],[İade Miktarı]]/Table1[[#This Row],[Satış Miktarı]]</f>
        <v>5.5784622847441182E-3</v>
      </c>
      <c r="I271" t="s">
        <v>18</v>
      </c>
      <c r="J271">
        <v>25</v>
      </c>
      <c r="K271">
        <f>Table1[[#This Row],[Satış Miktarı]]*Table1[[#This Row],[Satış Fiyatı]]</f>
        <v>103075</v>
      </c>
      <c r="L271" t="s">
        <v>19</v>
      </c>
      <c r="M271" t="s">
        <v>68</v>
      </c>
      <c r="N271" t="s">
        <v>47</v>
      </c>
      <c r="O271">
        <v>0.2</v>
      </c>
      <c r="P271" t="s">
        <v>22</v>
      </c>
      <c r="Q271" t="s">
        <v>82</v>
      </c>
    </row>
    <row r="272" spans="1:17">
      <c r="A272">
        <v>667855935</v>
      </c>
      <c r="B272" t="s">
        <v>54</v>
      </c>
      <c r="C272" t="s">
        <v>34</v>
      </c>
      <c r="D272" s="1">
        <v>48091</v>
      </c>
      <c r="E272">
        <v>1632</v>
      </c>
      <c r="F272">
        <v>42</v>
      </c>
      <c r="G272" s="2">
        <v>2.5700000000000001E-2</v>
      </c>
      <c r="H272" s="2">
        <f>Table1[[#This Row],[İade Miktarı]]/Table1[[#This Row],[Satış Miktarı]]</f>
        <v>2.5735294117647058E-2</v>
      </c>
      <c r="I272" t="s">
        <v>45</v>
      </c>
      <c r="J272">
        <v>24</v>
      </c>
      <c r="K272">
        <f>Table1[[#This Row],[Satış Miktarı]]*Table1[[#This Row],[Satış Fiyatı]]</f>
        <v>39168</v>
      </c>
      <c r="L272" t="s">
        <v>19</v>
      </c>
      <c r="M272" t="s">
        <v>71</v>
      </c>
      <c r="N272" t="s">
        <v>50</v>
      </c>
      <c r="O272">
        <v>0.2</v>
      </c>
      <c r="P272" t="s">
        <v>27</v>
      </c>
      <c r="Q272" t="s">
        <v>56</v>
      </c>
    </row>
    <row r="273" spans="1:17">
      <c r="A273">
        <v>871617400</v>
      </c>
      <c r="B273" t="s">
        <v>57</v>
      </c>
      <c r="C273" t="s">
        <v>34</v>
      </c>
      <c r="D273" s="1">
        <v>48151</v>
      </c>
      <c r="E273">
        <v>2102</v>
      </c>
      <c r="F273">
        <v>25</v>
      </c>
      <c r="G273" s="2">
        <v>1.1900000000000001E-2</v>
      </c>
      <c r="H273" s="2">
        <f>Table1[[#This Row],[İade Miktarı]]/Table1[[#This Row],[Satış Miktarı]]</f>
        <v>1.1893434823977164E-2</v>
      </c>
      <c r="I273" t="s">
        <v>18</v>
      </c>
      <c r="J273">
        <v>42</v>
      </c>
      <c r="K273">
        <f>Table1[[#This Row],[Satış Miktarı]]*Table1[[#This Row],[Satış Fiyatı]]</f>
        <v>88284</v>
      </c>
      <c r="L273" t="s">
        <v>19</v>
      </c>
      <c r="M273" t="s">
        <v>74</v>
      </c>
      <c r="N273" t="s">
        <v>65</v>
      </c>
      <c r="O273">
        <v>0.2</v>
      </c>
      <c r="P273" t="s">
        <v>27</v>
      </c>
      <c r="Q273" t="s">
        <v>23</v>
      </c>
    </row>
    <row r="274" spans="1:17">
      <c r="A274">
        <v>739189323</v>
      </c>
      <c r="B274" t="s">
        <v>59</v>
      </c>
      <c r="C274" t="s">
        <v>17</v>
      </c>
      <c r="D274" s="1">
        <v>47568</v>
      </c>
      <c r="E274">
        <v>1462</v>
      </c>
      <c r="F274">
        <v>23</v>
      </c>
      <c r="G274" s="2">
        <v>1.5699999999999999E-2</v>
      </c>
      <c r="H274" s="2">
        <f>Table1[[#This Row],[İade Miktarı]]/Table1[[#This Row],[Satış Miktarı]]</f>
        <v>1.573187414500684E-2</v>
      </c>
      <c r="I274" t="s">
        <v>18</v>
      </c>
      <c r="J274">
        <v>35</v>
      </c>
      <c r="K274">
        <f>Table1[[#This Row],[Satış Miktarı]]*Table1[[#This Row],[Satış Fiyatı]]</f>
        <v>51170</v>
      </c>
      <c r="L274" t="s">
        <v>19</v>
      </c>
      <c r="M274" t="s">
        <v>20</v>
      </c>
      <c r="N274" t="s">
        <v>47</v>
      </c>
      <c r="O274">
        <v>0.2</v>
      </c>
      <c r="P274" t="s">
        <v>22</v>
      </c>
      <c r="Q274" t="s">
        <v>48</v>
      </c>
    </row>
    <row r="275" spans="1:17">
      <c r="A275">
        <v>167072191</v>
      </c>
      <c r="B275" t="s">
        <v>63</v>
      </c>
      <c r="C275" t="s">
        <v>17</v>
      </c>
      <c r="D275" s="1">
        <v>47939</v>
      </c>
      <c r="E275">
        <v>3236</v>
      </c>
      <c r="F275">
        <v>11</v>
      </c>
      <c r="G275" s="2">
        <v>3.3999999999999998E-3</v>
      </c>
      <c r="H275" s="2">
        <f>Table1[[#This Row],[İade Miktarı]]/Table1[[#This Row],[Satış Miktarı]]</f>
        <v>3.399258343634116E-3</v>
      </c>
      <c r="I275" t="s">
        <v>18</v>
      </c>
      <c r="J275">
        <v>42</v>
      </c>
      <c r="K275">
        <f>Table1[[#This Row],[Satış Miktarı]]*Table1[[#This Row],[Satış Fiyatı]]</f>
        <v>135912</v>
      </c>
      <c r="L275" t="s">
        <v>19</v>
      </c>
      <c r="M275" t="s">
        <v>25</v>
      </c>
      <c r="N275" t="s">
        <v>50</v>
      </c>
      <c r="O275">
        <v>0.2</v>
      </c>
      <c r="P275" t="s">
        <v>22</v>
      </c>
      <c r="Q275" t="s">
        <v>48</v>
      </c>
    </row>
    <row r="276" spans="1:17">
      <c r="A276">
        <v>490753729</v>
      </c>
      <c r="B276" t="s">
        <v>67</v>
      </c>
      <c r="C276" t="s">
        <v>17</v>
      </c>
      <c r="D276" s="1">
        <v>47887</v>
      </c>
      <c r="E276">
        <v>3818</v>
      </c>
      <c r="F276">
        <v>20</v>
      </c>
      <c r="G276" s="2">
        <v>5.1999999999999998E-3</v>
      </c>
      <c r="H276" s="2">
        <f>Table1[[#This Row],[İade Miktarı]]/Table1[[#This Row],[Satış Miktarı]]</f>
        <v>5.2383446830801469E-3</v>
      </c>
      <c r="I276" t="s">
        <v>18</v>
      </c>
      <c r="J276">
        <v>27</v>
      </c>
      <c r="K276">
        <f>Table1[[#This Row],[Satış Miktarı]]*Table1[[#This Row],[Satış Fiyatı]]</f>
        <v>103086</v>
      </c>
      <c r="L276" t="s">
        <v>19</v>
      </c>
      <c r="M276" t="s">
        <v>30</v>
      </c>
      <c r="N276" t="s">
        <v>21</v>
      </c>
      <c r="O276">
        <v>0.2</v>
      </c>
      <c r="P276" t="s">
        <v>27</v>
      </c>
      <c r="Q276" t="s">
        <v>53</v>
      </c>
    </row>
    <row r="277" spans="1:17">
      <c r="A277">
        <v>523413264</v>
      </c>
      <c r="B277" t="s">
        <v>70</v>
      </c>
      <c r="C277" t="s">
        <v>17</v>
      </c>
      <c r="D277" s="1">
        <v>48147</v>
      </c>
      <c r="E277">
        <v>1961</v>
      </c>
      <c r="F277">
        <v>46</v>
      </c>
      <c r="G277" s="2">
        <v>2.35E-2</v>
      </c>
      <c r="H277" s="2">
        <f>Table1[[#This Row],[İade Miktarı]]/Table1[[#This Row],[Satış Miktarı]]</f>
        <v>2.3457419683834777E-2</v>
      </c>
      <c r="I277" t="s">
        <v>18</v>
      </c>
      <c r="J277">
        <v>30</v>
      </c>
      <c r="K277">
        <f>Table1[[#This Row],[Satış Miktarı]]*Table1[[#This Row],[Satış Fiyatı]]</f>
        <v>58830</v>
      </c>
      <c r="L277" t="s">
        <v>19</v>
      </c>
      <c r="M277" t="s">
        <v>35</v>
      </c>
      <c r="N277" t="s">
        <v>47</v>
      </c>
      <c r="O277">
        <v>0.2</v>
      </c>
      <c r="P277" t="s">
        <v>27</v>
      </c>
      <c r="Q277" t="s">
        <v>82</v>
      </c>
    </row>
    <row r="278" spans="1:17">
      <c r="A278">
        <v>405669941</v>
      </c>
      <c r="B278" t="s">
        <v>73</v>
      </c>
      <c r="C278" t="s">
        <v>17</v>
      </c>
      <c r="D278" s="1">
        <v>47793</v>
      </c>
      <c r="E278">
        <v>4014</v>
      </c>
      <c r="F278">
        <v>25</v>
      </c>
      <c r="G278" s="2">
        <v>6.1999999999999998E-3</v>
      </c>
      <c r="H278" s="2">
        <f>Table1[[#This Row],[İade Miktarı]]/Table1[[#This Row],[Satış Miktarı]]</f>
        <v>6.2282012954658697E-3</v>
      </c>
      <c r="I278" t="s">
        <v>45</v>
      </c>
      <c r="J278">
        <v>28</v>
      </c>
      <c r="K278">
        <f>Table1[[#This Row],[Satış Miktarı]]*Table1[[#This Row],[Satış Fiyatı]]</f>
        <v>112392</v>
      </c>
      <c r="L278" t="s">
        <v>19</v>
      </c>
      <c r="M278" t="s">
        <v>38</v>
      </c>
      <c r="N278" t="s">
        <v>61</v>
      </c>
      <c r="O278">
        <v>0.2</v>
      </c>
      <c r="P278" t="s">
        <v>27</v>
      </c>
      <c r="Q278" t="s">
        <v>69</v>
      </c>
    </row>
    <row r="279" spans="1:17">
      <c r="A279">
        <v>247006947</v>
      </c>
      <c r="B279" t="s">
        <v>16</v>
      </c>
      <c r="C279" t="s">
        <v>17</v>
      </c>
      <c r="D279" s="1">
        <v>48388</v>
      </c>
      <c r="E279">
        <v>2717</v>
      </c>
      <c r="F279">
        <v>10</v>
      </c>
      <c r="G279" s="2">
        <v>3.7000000000000002E-3</v>
      </c>
      <c r="H279" s="2">
        <f>Table1[[#This Row],[İade Miktarı]]/Table1[[#This Row],[Satış Miktarı]]</f>
        <v>3.6805299963194702E-3</v>
      </c>
      <c r="I279" t="s">
        <v>18</v>
      </c>
      <c r="J279">
        <v>39</v>
      </c>
      <c r="K279">
        <f>Table1[[#This Row],[Satış Miktarı]]*Table1[[#This Row],[Satış Fiyatı]]</f>
        <v>105963</v>
      </c>
      <c r="L279" t="s">
        <v>19</v>
      </c>
      <c r="M279" t="s">
        <v>42</v>
      </c>
      <c r="N279" t="s">
        <v>43</v>
      </c>
      <c r="O279">
        <v>0.2</v>
      </c>
      <c r="P279" t="s">
        <v>22</v>
      </c>
      <c r="Q279" t="s">
        <v>48</v>
      </c>
    </row>
    <row r="280" spans="1:17">
      <c r="A280">
        <v>485359863</v>
      </c>
      <c r="B280" t="s">
        <v>24</v>
      </c>
      <c r="C280" t="s">
        <v>17</v>
      </c>
      <c r="D280" s="1">
        <v>47766</v>
      </c>
      <c r="E280">
        <v>3563</v>
      </c>
      <c r="F280">
        <v>19</v>
      </c>
      <c r="G280" s="2">
        <v>5.3E-3</v>
      </c>
      <c r="H280" s="2">
        <f>Table1[[#This Row],[İade Miktarı]]/Table1[[#This Row],[Satış Miktarı]]</f>
        <v>5.3325849003648612E-3</v>
      </c>
      <c r="I280" t="s">
        <v>18</v>
      </c>
      <c r="J280">
        <v>36</v>
      </c>
      <c r="K280">
        <f>Table1[[#This Row],[Satış Miktarı]]*Table1[[#This Row],[Satış Fiyatı]]</f>
        <v>128268</v>
      </c>
      <c r="L280" t="s">
        <v>19</v>
      </c>
      <c r="M280" t="s">
        <v>46</v>
      </c>
      <c r="N280" t="s">
        <v>31</v>
      </c>
      <c r="O280">
        <v>0.2</v>
      </c>
      <c r="P280" t="s">
        <v>22</v>
      </c>
      <c r="Q280" t="s">
        <v>79</v>
      </c>
    </row>
    <row r="281" spans="1:17">
      <c r="A281">
        <v>898808771</v>
      </c>
      <c r="B281" t="s">
        <v>29</v>
      </c>
      <c r="C281" t="s">
        <v>17</v>
      </c>
      <c r="D281" s="1">
        <v>48362</v>
      </c>
      <c r="E281">
        <v>1894</v>
      </c>
      <c r="F281">
        <v>46</v>
      </c>
      <c r="G281" s="2">
        <v>2.4299999999999999E-2</v>
      </c>
      <c r="H281" s="2">
        <f>Table1[[#This Row],[İade Miktarı]]/Table1[[#This Row],[Satış Miktarı]]</f>
        <v>2.4287222808870117E-2</v>
      </c>
      <c r="I281" t="s">
        <v>18</v>
      </c>
      <c r="J281">
        <v>46</v>
      </c>
      <c r="K281">
        <f>Table1[[#This Row],[Satış Miktarı]]*Table1[[#This Row],[Satış Fiyatı]]</f>
        <v>87124</v>
      </c>
      <c r="L281" t="s">
        <v>19</v>
      </c>
      <c r="M281" t="s">
        <v>46</v>
      </c>
      <c r="N281" t="s">
        <v>76</v>
      </c>
      <c r="O281">
        <v>0.2</v>
      </c>
      <c r="P281" t="s">
        <v>27</v>
      </c>
      <c r="Q281" t="s">
        <v>53</v>
      </c>
    </row>
    <row r="282" spans="1:17">
      <c r="A282">
        <v>150181758</v>
      </c>
      <c r="B282" t="s">
        <v>33</v>
      </c>
      <c r="C282" t="s">
        <v>34</v>
      </c>
      <c r="D282" s="1">
        <v>48351</v>
      </c>
      <c r="E282">
        <v>1918</v>
      </c>
      <c r="F282">
        <v>38</v>
      </c>
      <c r="G282" s="2">
        <v>1.9800000000000002E-2</v>
      </c>
      <c r="H282" s="2">
        <f>Table1[[#This Row],[İade Miktarı]]/Table1[[#This Row],[Satış Miktarı]]</f>
        <v>1.9812304483837331E-2</v>
      </c>
      <c r="I282" t="s">
        <v>18</v>
      </c>
      <c r="J282">
        <v>41</v>
      </c>
      <c r="K282">
        <f>Table1[[#This Row],[Satış Miktarı]]*Table1[[#This Row],[Satış Fiyatı]]</f>
        <v>78638</v>
      </c>
      <c r="L282" t="s">
        <v>19</v>
      </c>
      <c r="M282" t="s">
        <v>52</v>
      </c>
      <c r="N282" t="s">
        <v>78</v>
      </c>
      <c r="O282">
        <v>0.2</v>
      </c>
      <c r="P282" t="s">
        <v>27</v>
      </c>
      <c r="Q282" t="s">
        <v>62</v>
      </c>
    </row>
    <row r="283" spans="1:17">
      <c r="A283">
        <v>810630011</v>
      </c>
      <c r="B283" t="s">
        <v>37</v>
      </c>
      <c r="C283" t="s">
        <v>34</v>
      </c>
      <c r="D283" s="1">
        <v>48495</v>
      </c>
      <c r="E283">
        <v>2583</v>
      </c>
      <c r="F283">
        <v>11</v>
      </c>
      <c r="G283" s="2">
        <v>4.3E-3</v>
      </c>
      <c r="H283" s="2">
        <f>Table1[[#This Row],[İade Miktarı]]/Table1[[#This Row],[Satış Miktarı]]</f>
        <v>4.2586140147115757E-3</v>
      </c>
      <c r="I283" t="s">
        <v>18</v>
      </c>
      <c r="J283">
        <v>48</v>
      </c>
      <c r="K283">
        <f>Table1[[#This Row],[Satış Miktarı]]*Table1[[#This Row],[Satış Fiyatı]]</f>
        <v>123984</v>
      </c>
      <c r="L283" t="s">
        <v>19</v>
      </c>
      <c r="M283" t="s">
        <v>55</v>
      </c>
      <c r="N283" t="s">
        <v>50</v>
      </c>
      <c r="O283">
        <v>0.2</v>
      </c>
      <c r="P283" t="s">
        <v>27</v>
      </c>
      <c r="Q283" t="s">
        <v>32</v>
      </c>
    </row>
    <row r="284" spans="1:17">
      <c r="A284">
        <v>871304217</v>
      </c>
      <c r="B284" t="s">
        <v>41</v>
      </c>
      <c r="C284" t="s">
        <v>17</v>
      </c>
      <c r="D284" s="1">
        <v>48232</v>
      </c>
      <c r="E284">
        <v>3942</v>
      </c>
      <c r="F284">
        <v>20</v>
      </c>
      <c r="G284" s="2">
        <v>5.1000000000000004E-3</v>
      </c>
      <c r="H284" s="2">
        <f>Table1[[#This Row],[İade Miktarı]]/Table1[[#This Row],[Satış Miktarı]]</f>
        <v>5.0735667174023336E-3</v>
      </c>
      <c r="I284" t="s">
        <v>18</v>
      </c>
      <c r="J284">
        <v>39</v>
      </c>
      <c r="K284">
        <f>Table1[[#This Row],[Satış Miktarı]]*Table1[[#This Row],[Satış Fiyatı]]</f>
        <v>153738</v>
      </c>
      <c r="L284" t="s">
        <v>19</v>
      </c>
      <c r="M284" t="s">
        <v>58</v>
      </c>
      <c r="N284" t="s">
        <v>26</v>
      </c>
      <c r="O284">
        <v>0.2</v>
      </c>
      <c r="P284" t="s">
        <v>27</v>
      </c>
      <c r="Q284" t="s">
        <v>82</v>
      </c>
    </row>
    <row r="285" spans="1:17">
      <c r="A285">
        <v>277913865</v>
      </c>
      <c r="B285" t="s">
        <v>44</v>
      </c>
      <c r="C285" t="s">
        <v>17</v>
      </c>
      <c r="D285" s="1">
        <v>47723</v>
      </c>
      <c r="E285">
        <v>1173</v>
      </c>
      <c r="F285">
        <v>10</v>
      </c>
      <c r="G285" s="2">
        <v>8.5000000000000006E-3</v>
      </c>
      <c r="H285" s="2">
        <f>Table1[[#This Row],[İade Miktarı]]/Table1[[#This Row],[Satış Miktarı]]</f>
        <v>8.5251491901108273E-3</v>
      </c>
      <c r="I285" t="s">
        <v>18</v>
      </c>
      <c r="J285">
        <v>48</v>
      </c>
      <c r="K285">
        <f>Table1[[#This Row],[Satış Miktarı]]*Table1[[#This Row],[Satış Fiyatı]]</f>
        <v>56304</v>
      </c>
      <c r="L285" t="s">
        <v>19</v>
      </c>
      <c r="M285" t="s">
        <v>60</v>
      </c>
      <c r="N285" t="s">
        <v>65</v>
      </c>
      <c r="O285">
        <v>0.2</v>
      </c>
      <c r="P285" t="s">
        <v>22</v>
      </c>
      <c r="Q285" t="s">
        <v>53</v>
      </c>
    </row>
    <row r="286" spans="1:17">
      <c r="A286">
        <v>422523087</v>
      </c>
      <c r="B286" t="s">
        <v>49</v>
      </c>
      <c r="C286" t="s">
        <v>34</v>
      </c>
      <c r="D286" s="1">
        <v>48385</v>
      </c>
      <c r="E286">
        <v>3655</v>
      </c>
      <c r="F286">
        <v>32</v>
      </c>
      <c r="G286" s="2">
        <v>8.8000000000000005E-3</v>
      </c>
      <c r="H286" s="2">
        <f>Table1[[#This Row],[İade Miktarı]]/Table1[[#This Row],[Satış Miktarı]]</f>
        <v>8.7551299589603282E-3</v>
      </c>
      <c r="I286" t="s">
        <v>18</v>
      </c>
      <c r="J286">
        <v>41</v>
      </c>
      <c r="K286">
        <f>Table1[[#This Row],[Satış Miktarı]]*Table1[[#This Row],[Satış Fiyatı]]</f>
        <v>149855</v>
      </c>
      <c r="L286" t="s">
        <v>19</v>
      </c>
      <c r="M286" t="s">
        <v>64</v>
      </c>
      <c r="N286" t="s">
        <v>31</v>
      </c>
      <c r="O286">
        <v>0.2</v>
      </c>
      <c r="P286" t="s">
        <v>22</v>
      </c>
      <c r="Q286" t="s">
        <v>56</v>
      </c>
    </row>
    <row r="287" spans="1:17">
      <c r="A287">
        <v>278583501</v>
      </c>
      <c r="B287" t="s">
        <v>51</v>
      </c>
      <c r="C287" t="s">
        <v>17</v>
      </c>
      <c r="D287" s="1">
        <v>47771</v>
      </c>
      <c r="E287">
        <v>2446</v>
      </c>
      <c r="F287">
        <v>33</v>
      </c>
      <c r="G287" s="2">
        <v>1.35E-2</v>
      </c>
      <c r="H287" s="2">
        <f>Table1[[#This Row],[İade Miktarı]]/Table1[[#This Row],[Satış Miktarı]]</f>
        <v>1.3491414554374489E-2</v>
      </c>
      <c r="I287" t="s">
        <v>18</v>
      </c>
      <c r="J287">
        <v>45</v>
      </c>
      <c r="K287">
        <f>Table1[[#This Row],[Satış Miktarı]]*Table1[[#This Row],[Satış Fiyatı]]</f>
        <v>110070</v>
      </c>
      <c r="L287" t="s">
        <v>19</v>
      </c>
      <c r="M287" t="s">
        <v>68</v>
      </c>
      <c r="N287" t="s">
        <v>65</v>
      </c>
      <c r="O287">
        <v>0.2</v>
      </c>
      <c r="P287" t="s">
        <v>22</v>
      </c>
      <c r="Q287" t="s">
        <v>36</v>
      </c>
    </row>
    <row r="288" spans="1:17">
      <c r="A288">
        <v>510933382</v>
      </c>
      <c r="B288" t="s">
        <v>54</v>
      </c>
      <c r="C288" t="s">
        <v>34</v>
      </c>
      <c r="D288" s="1">
        <v>48067</v>
      </c>
      <c r="E288">
        <v>1645</v>
      </c>
      <c r="F288">
        <v>26</v>
      </c>
      <c r="G288" s="2">
        <v>1.5800000000000002E-2</v>
      </c>
      <c r="H288" s="2">
        <f>Table1[[#This Row],[İade Miktarı]]/Table1[[#This Row],[Satış Miktarı]]</f>
        <v>1.5805471124620062E-2</v>
      </c>
      <c r="I288" t="s">
        <v>18</v>
      </c>
      <c r="J288">
        <v>47</v>
      </c>
      <c r="K288">
        <f>Table1[[#This Row],[Satış Miktarı]]*Table1[[#This Row],[Satış Fiyatı]]</f>
        <v>77315</v>
      </c>
      <c r="L288" t="s">
        <v>19</v>
      </c>
      <c r="M288" t="s">
        <v>71</v>
      </c>
      <c r="N288" t="s">
        <v>47</v>
      </c>
      <c r="O288">
        <v>0.2</v>
      </c>
      <c r="P288" t="s">
        <v>27</v>
      </c>
      <c r="Q288" t="s">
        <v>40</v>
      </c>
    </row>
    <row r="289" spans="1:17">
      <c r="A289">
        <v>332049582</v>
      </c>
      <c r="B289" t="s">
        <v>57</v>
      </c>
      <c r="C289" t="s">
        <v>34</v>
      </c>
      <c r="D289" s="1">
        <v>47489</v>
      </c>
      <c r="E289">
        <v>1441</v>
      </c>
      <c r="F289">
        <v>21</v>
      </c>
      <c r="G289" s="2">
        <v>1.46E-2</v>
      </c>
      <c r="H289" s="2">
        <f>Table1[[#This Row],[İade Miktarı]]/Table1[[#This Row],[Satış Miktarı]]</f>
        <v>1.457321304649549E-2</v>
      </c>
      <c r="I289" t="s">
        <v>45</v>
      </c>
      <c r="J289">
        <v>48</v>
      </c>
      <c r="K289">
        <f>Table1[[#This Row],[Satış Miktarı]]*Table1[[#This Row],[Satış Fiyatı]]</f>
        <v>69168</v>
      </c>
      <c r="L289" t="s">
        <v>19</v>
      </c>
      <c r="M289" t="s">
        <v>74</v>
      </c>
      <c r="N289" t="s">
        <v>21</v>
      </c>
      <c r="O289">
        <v>0.2</v>
      </c>
      <c r="P289" t="s">
        <v>22</v>
      </c>
      <c r="Q289" t="s">
        <v>82</v>
      </c>
    </row>
    <row r="290" spans="1:17">
      <c r="A290">
        <v>865117479</v>
      </c>
      <c r="B290" t="s">
        <v>59</v>
      </c>
      <c r="C290" t="s">
        <v>17</v>
      </c>
      <c r="D290" s="1">
        <v>48172</v>
      </c>
      <c r="E290">
        <v>1723</v>
      </c>
      <c r="F290">
        <v>28</v>
      </c>
      <c r="G290" s="2">
        <v>1.6299999999999999E-2</v>
      </c>
      <c r="H290" s="2">
        <f>Table1[[#This Row],[İade Miktarı]]/Table1[[#This Row],[Satış Miktarı]]</f>
        <v>1.6250725478816019E-2</v>
      </c>
      <c r="I290" t="s">
        <v>45</v>
      </c>
      <c r="J290">
        <v>37</v>
      </c>
      <c r="K290">
        <f>Table1[[#This Row],[Satış Miktarı]]*Table1[[#This Row],[Satış Fiyatı]]</f>
        <v>63751</v>
      </c>
      <c r="L290" t="s">
        <v>19</v>
      </c>
      <c r="M290" t="s">
        <v>20</v>
      </c>
      <c r="N290" t="s">
        <v>50</v>
      </c>
      <c r="O290">
        <v>0.2</v>
      </c>
      <c r="P290" t="s">
        <v>27</v>
      </c>
      <c r="Q290" t="s">
        <v>84</v>
      </c>
    </row>
    <row r="291" spans="1:17">
      <c r="A291">
        <v>130900481</v>
      </c>
      <c r="B291" t="s">
        <v>63</v>
      </c>
      <c r="C291" t="s">
        <v>17</v>
      </c>
      <c r="D291" s="1">
        <v>48004</v>
      </c>
      <c r="E291">
        <v>1172</v>
      </c>
      <c r="F291">
        <v>31</v>
      </c>
      <c r="G291" s="2">
        <v>2.6499999999999999E-2</v>
      </c>
      <c r="H291" s="2">
        <f>Table1[[#This Row],[İade Miktarı]]/Table1[[#This Row],[Satış Miktarı]]</f>
        <v>2.6450511945392493E-2</v>
      </c>
      <c r="I291" t="s">
        <v>18</v>
      </c>
      <c r="J291">
        <v>27</v>
      </c>
      <c r="K291">
        <f>Table1[[#This Row],[Satış Miktarı]]*Table1[[#This Row],[Satış Fiyatı]]</f>
        <v>31644</v>
      </c>
      <c r="L291" t="s">
        <v>19</v>
      </c>
      <c r="M291" t="s">
        <v>25</v>
      </c>
      <c r="N291" t="s">
        <v>31</v>
      </c>
      <c r="O291">
        <v>0.2</v>
      </c>
      <c r="P291" t="s">
        <v>27</v>
      </c>
      <c r="Q291" t="s">
        <v>72</v>
      </c>
    </row>
    <row r="292" spans="1:17">
      <c r="A292">
        <v>373577705</v>
      </c>
      <c r="B292" t="s">
        <v>67</v>
      </c>
      <c r="C292" t="s">
        <v>17</v>
      </c>
      <c r="D292" s="1">
        <v>47987</v>
      </c>
      <c r="E292">
        <v>4830</v>
      </c>
      <c r="F292">
        <v>27</v>
      </c>
      <c r="G292" s="2">
        <v>5.5999999999999999E-3</v>
      </c>
      <c r="H292" s="2">
        <f>Table1[[#This Row],[İade Miktarı]]/Table1[[#This Row],[Satış Miktarı]]</f>
        <v>5.5900621118012426E-3</v>
      </c>
      <c r="I292" t="s">
        <v>81</v>
      </c>
      <c r="J292">
        <v>48</v>
      </c>
      <c r="K292">
        <f>Table1[[#This Row],[Satış Miktarı]]*Table1[[#This Row],[Satış Fiyatı]]</f>
        <v>231840</v>
      </c>
      <c r="L292" t="s">
        <v>19</v>
      </c>
      <c r="M292" t="s">
        <v>30</v>
      </c>
      <c r="N292" t="s">
        <v>31</v>
      </c>
      <c r="O292">
        <v>0.2</v>
      </c>
      <c r="P292" t="s">
        <v>22</v>
      </c>
      <c r="Q292" t="s">
        <v>40</v>
      </c>
    </row>
    <row r="293" spans="1:17">
      <c r="A293">
        <v>749959268</v>
      </c>
      <c r="B293" t="s">
        <v>70</v>
      </c>
      <c r="C293" t="s">
        <v>17</v>
      </c>
      <c r="D293" s="1">
        <v>47538</v>
      </c>
      <c r="E293">
        <v>3222</v>
      </c>
      <c r="F293">
        <v>47</v>
      </c>
      <c r="G293" s="2">
        <v>1.46E-2</v>
      </c>
      <c r="H293" s="2">
        <f>Table1[[#This Row],[İade Miktarı]]/Table1[[#This Row],[Satış Miktarı]]</f>
        <v>1.4587212911235258E-2</v>
      </c>
      <c r="I293" t="s">
        <v>45</v>
      </c>
      <c r="J293">
        <v>39</v>
      </c>
      <c r="K293">
        <f>Table1[[#This Row],[Satış Miktarı]]*Table1[[#This Row],[Satış Fiyatı]]</f>
        <v>125658</v>
      </c>
      <c r="L293" t="s">
        <v>19</v>
      </c>
      <c r="M293" t="s">
        <v>35</v>
      </c>
      <c r="N293" t="s">
        <v>39</v>
      </c>
      <c r="O293">
        <v>0.2</v>
      </c>
      <c r="P293" t="s">
        <v>22</v>
      </c>
      <c r="Q293" t="s">
        <v>56</v>
      </c>
    </row>
    <row r="294" spans="1:17">
      <c r="A294">
        <v>675453217</v>
      </c>
      <c r="B294" t="s">
        <v>73</v>
      </c>
      <c r="C294" t="s">
        <v>17</v>
      </c>
      <c r="D294" s="1">
        <v>47703</v>
      </c>
      <c r="E294">
        <v>4684</v>
      </c>
      <c r="F294">
        <v>38</v>
      </c>
      <c r="G294" s="2">
        <v>8.0999999999999996E-3</v>
      </c>
      <c r="H294" s="2">
        <f>Table1[[#This Row],[İade Miktarı]]/Table1[[#This Row],[Satış Miktarı]]</f>
        <v>8.1127241673783091E-3</v>
      </c>
      <c r="I294" t="s">
        <v>18</v>
      </c>
      <c r="J294">
        <v>47</v>
      </c>
      <c r="K294">
        <f>Table1[[#This Row],[Satış Miktarı]]*Table1[[#This Row],[Satış Fiyatı]]</f>
        <v>220148</v>
      </c>
      <c r="L294" t="s">
        <v>19</v>
      </c>
      <c r="M294" t="s">
        <v>38</v>
      </c>
      <c r="N294" t="s">
        <v>43</v>
      </c>
      <c r="O294">
        <v>0.2</v>
      </c>
      <c r="P294" t="s">
        <v>27</v>
      </c>
      <c r="Q294" t="s">
        <v>62</v>
      </c>
    </row>
    <row r="295" spans="1:17">
      <c r="A295">
        <v>269060241</v>
      </c>
      <c r="B295" t="s">
        <v>16</v>
      </c>
      <c r="C295" t="s">
        <v>17</v>
      </c>
      <c r="D295" s="1">
        <v>48193</v>
      </c>
      <c r="E295">
        <v>3133</v>
      </c>
      <c r="F295">
        <v>28</v>
      </c>
      <c r="G295" s="2">
        <v>8.8999999999999999E-3</v>
      </c>
      <c r="H295" s="2">
        <f>Table1[[#This Row],[İade Miktarı]]/Table1[[#This Row],[Satış Miktarı]]</f>
        <v>8.9371209703159905E-3</v>
      </c>
      <c r="I295" t="s">
        <v>18</v>
      </c>
      <c r="J295">
        <v>32</v>
      </c>
      <c r="K295">
        <f>Table1[[#This Row],[Satış Miktarı]]*Table1[[#This Row],[Satış Fiyatı]]</f>
        <v>100256</v>
      </c>
      <c r="L295" t="s">
        <v>19</v>
      </c>
      <c r="M295" t="s">
        <v>42</v>
      </c>
      <c r="N295" t="s">
        <v>39</v>
      </c>
      <c r="O295">
        <v>0.2</v>
      </c>
      <c r="P295" t="s">
        <v>27</v>
      </c>
      <c r="Q295" t="s">
        <v>53</v>
      </c>
    </row>
    <row r="296" spans="1:17">
      <c r="A296">
        <v>571123642</v>
      </c>
      <c r="B296" t="s">
        <v>24</v>
      </c>
      <c r="C296" t="s">
        <v>17</v>
      </c>
      <c r="D296" s="1">
        <v>47811</v>
      </c>
      <c r="E296">
        <v>2925</v>
      </c>
      <c r="F296">
        <v>50</v>
      </c>
      <c r="G296" s="2">
        <v>1.7100000000000001E-2</v>
      </c>
      <c r="H296" s="2">
        <f>Table1[[#This Row],[İade Miktarı]]/Table1[[#This Row],[Satış Miktarı]]</f>
        <v>1.7094017094017096E-2</v>
      </c>
      <c r="I296" t="s">
        <v>18</v>
      </c>
      <c r="J296">
        <v>42</v>
      </c>
      <c r="K296">
        <f>Table1[[#This Row],[Satış Miktarı]]*Table1[[#This Row],[Satış Fiyatı]]</f>
        <v>122850</v>
      </c>
      <c r="L296" t="s">
        <v>19</v>
      </c>
      <c r="M296" t="s">
        <v>46</v>
      </c>
      <c r="N296" t="s">
        <v>39</v>
      </c>
      <c r="O296">
        <v>0.2</v>
      </c>
      <c r="P296" t="s">
        <v>22</v>
      </c>
      <c r="Q296" t="s">
        <v>75</v>
      </c>
    </row>
    <row r="297" spans="1:17">
      <c r="A297">
        <v>764898706</v>
      </c>
      <c r="B297" t="s">
        <v>29</v>
      </c>
      <c r="C297" t="s">
        <v>17</v>
      </c>
      <c r="D297" s="1">
        <v>47642</v>
      </c>
      <c r="E297">
        <v>3877</v>
      </c>
      <c r="F297">
        <v>50</v>
      </c>
      <c r="G297" s="2">
        <v>1.29E-2</v>
      </c>
      <c r="H297" s="2">
        <f>Table1[[#This Row],[İade Miktarı]]/Table1[[#This Row],[Satış Miktarı]]</f>
        <v>1.2896569512509672E-2</v>
      </c>
      <c r="I297" t="s">
        <v>18</v>
      </c>
      <c r="J297">
        <v>35</v>
      </c>
      <c r="K297">
        <f>Table1[[#This Row],[Satış Miktarı]]*Table1[[#This Row],[Satış Fiyatı]]</f>
        <v>135695</v>
      </c>
      <c r="L297" t="s">
        <v>19</v>
      </c>
      <c r="M297" t="s">
        <v>46</v>
      </c>
      <c r="N297" t="s">
        <v>31</v>
      </c>
      <c r="O297">
        <v>0.2</v>
      </c>
      <c r="P297" t="s">
        <v>22</v>
      </c>
      <c r="Q297" t="s">
        <v>62</v>
      </c>
    </row>
    <row r="298" spans="1:17">
      <c r="A298">
        <v>439577117</v>
      </c>
      <c r="B298" t="s">
        <v>33</v>
      </c>
      <c r="C298" t="s">
        <v>34</v>
      </c>
      <c r="D298" s="1">
        <v>48411</v>
      </c>
      <c r="E298">
        <v>1507</v>
      </c>
      <c r="F298">
        <v>47</v>
      </c>
      <c r="G298" s="2">
        <v>3.1199999999999999E-2</v>
      </c>
      <c r="H298" s="2">
        <f>Table1[[#This Row],[İade Miktarı]]/Table1[[#This Row],[Satış Miktarı]]</f>
        <v>3.1187790311877902E-2</v>
      </c>
      <c r="I298" t="s">
        <v>18</v>
      </c>
      <c r="J298">
        <v>20</v>
      </c>
      <c r="K298">
        <f>Table1[[#This Row],[Satış Miktarı]]*Table1[[#This Row],[Satış Fiyatı]]</f>
        <v>30140</v>
      </c>
      <c r="L298" t="s">
        <v>19</v>
      </c>
      <c r="M298" t="s">
        <v>52</v>
      </c>
      <c r="N298" t="s">
        <v>78</v>
      </c>
      <c r="O298">
        <v>0.2</v>
      </c>
      <c r="P298" t="s">
        <v>27</v>
      </c>
      <c r="Q298" t="s">
        <v>75</v>
      </c>
    </row>
    <row r="299" spans="1:17">
      <c r="A299">
        <v>225460271</v>
      </c>
      <c r="B299" t="s">
        <v>37</v>
      </c>
      <c r="C299" t="s">
        <v>34</v>
      </c>
      <c r="D299" s="1">
        <v>48361</v>
      </c>
      <c r="E299">
        <v>2335</v>
      </c>
      <c r="F299">
        <v>14</v>
      </c>
      <c r="G299" s="2">
        <v>6.0000000000000001E-3</v>
      </c>
      <c r="H299" s="2">
        <f>Table1[[#This Row],[İade Miktarı]]/Table1[[#This Row],[Satış Miktarı]]</f>
        <v>5.9957173447537475E-3</v>
      </c>
      <c r="I299" t="s">
        <v>18</v>
      </c>
      <c r="J299">
        <v>24</v>
      </c>
      <c r="K299">
        <f>Table1[[#This Row],[Satış Miktarı]]*Table1[[#This Row],[Satış Fiyatı]]</f>
        <v>56040</v>
      </c>
      <c r="L299" t="s">
        <v>19</v>
      </c>
      <c r="M299" t="s">
        <v>55</v>
      </c>
      <c r="N299" t="s">
        <v>47</v>
      </c>
      <c r="O299">
        <v>0.2</v>
      </c>
      <c r="P299" t="s">
        <v>27</v>
      </c>
      <c r="Q299" t="s">
        <v>62</v>
      </c>
    </row>
    <row r="300" spans="1:17">
      <c r="A300">
        <v>915517789</v>
      </c>
      <c r="B300" t="s">
        <v>41</v>
      </c>
      <c r="C300" t="s">
        <v>17</v>
      </c>
      <c r="D300" s="1">
        <v>48568</v>
      </c>
      <c r="E300">
        <v>2276</v>
      </c>
      <c r="F300">
        <v>37</v>
      </c>
      <c r="G300" s="2">
        <v>1.6299999999999999E-2</v>
      </c>
      <c r="H300" s="2">
        <f>Table1[[#This Row],[İade Miktarı]]/Table1[[#This Row],[Satış Miktarı]]</f>
        <v>1.6256590509666081E-2</v>
      </c>
      <c r="I300" t="s">
        <v>18</v>
      </c>
      <c r="J300">
        <v>25</v>
      </c>
      <c r="K300">
        <f>Table1[[#This Row],[Satış Miktarı]]*Table1[[#This Row],[Satış Fiyatı]]</f>
        <v>56900</v>
      </c>
      <c r="L300" t="s">
        <v>19</v>
      </c>
      <c r="M300" t="s">
        <v>58</v>
      </c>
      <c r="N300" t="s">
        <v>65</v>
      </c>
      <c r="O300">
        <v>0.2</v>
      </c>
      <c r="P300" t="s">
        <v>22</v>
      </c>
      <c r="Q300" t="s">
        <v>56</v>
      </c>
    </row>
    <row r="301" spans="1:17">
      <c r="A301">
        <v>812562802</v>
      </c>
      <c r="B301" t="s">
        <v>44</v>
      </c>
      <c r="C301" t="s">
        <v>17</v>
      </c>
      <c r="D301" s="1">
        <v>48089</v>
      </c>
      <c r="E301">
        <v>1131</v>
      </c>
      <c r="F301">
        <v>30</v>
      </c>
      <c r="G301" s="2">
        <v>2.6499999999999999E-2</v>
      </c>
      <c r="H301" s="2">
        <f>Table1[[#This Row],[İade Miktarı]]/Table1[[#This Row],[Satış Miktarı]]</f>
        <v>2.6525198938992044E-2</v>
      </c>
      <c r="I301" t="s">
        <v>18</v>
      </c>
      <c r="J301">
        <v>47</v>
      </c>
      <c r="K301">
        <f>Table1[[#This Row],[Satış Miktarı]]*Table1[[#This Row],[Satış Fiyatı]]</f>
        <v>53157</v>
      </c>
      <c r="L301" t="s">
        <v>19</v>
      </c>
      <c r="M301" t="s">
        <v>60</v>
      </c>
      <c r="N301" t="s">
        <v>78</v>
      </c>
      <c r="O301">
        <v>0.2</v>
      </c>
      <c r="P301" t="s">
        <v>27</v>
      </c>
      <c r="Q301" t="s">
        <v>69</v>
      </c>
    </row>
    <row r="302" spans="1:17">
      <c r="A302">
        <v>315531989</v>
      </c>
      <c r="B302" t="s">
        <v>49</v>
      </c>
      <c r="C302" t="s">
        <v>34</v>
      </c>
      <c r="D302" s="1">
        <v>47943</v>
      </c>
      <c r="E302">
        <v>3816</v>
      </c>
      <c r="F302">
        <v>47</v>
      </c>
      <c r="G302" s="2">
        <v>1.23E-2</v>
      </c>
      <c r="H302" s="2">
        <f>Table1[[#This Row],[İade Miktarı]]/Table1[[#This Row],[Satış Miktarı]]</f>
        <v>1.2316561844863731E-2</v>
      </c>
      <c r="I302" t="s">
        <v>18</v>
      </c>
      <c r="J302">
        <v>25</v>
      </c>
      <c r="K302">
        <f>Table1[[#This Row],[Satış Miktarı]]*Table1[[#This Row],[Satış Fiyatı]]</f>
        <v>95400</v>
      </c>
      <c r="L302" t="s">
        <v>19</v>
      </c>
      <c r="M302" t="s">
        <v>64</v>
      </c>
      <c r="N302" t="s">
        <v>78</v>
      </c>
      <c r="O302">
        <v>0.2</v>
      </c>
      <c r="P302" t="s">
        <v>22</v>
      </c>
      <c r="Q302" t="s">
        <v>28</v>
      </c>
    </row>
    <row r="303" spans="1:17">
      <c r="A303">
        <v>216192860</v>
      </c>
      <c r="B303" t="s">
        <v>51</v>
      </c>
      <c r="C303" t="s">
        <v>17</v>
      </c>
      <c r="D303" s="1">
        <v>48359</v>
      </c>
      <c r="E303">
        <v>3230</v>
      </c>
      <c r="F303">
        <v>15</v>
      </c>
      <c r="G303" s="2">
        <v>4.5999999999999999E-3</v>
      </c>
      <c r="H303" s="2">
        <f>Table1[[#This Row],[İade Miktarı]]/Table1[[#This Row],[Satış Miktarı]]</f>
        <v>4.6439628482972135E-3</v>
      </c>
      <c r="I303" t="s">
        <v>18</v>
      </c>
      <c r="J303">
        <v>23</v>
      </c>
      <c r="K303">
        <f>Table1[[#This Row],[Satış Miktarı]]*Table1[[#This Row],[Satış Fiyatı]]</f>
        <v>74290</v>
      </c>
      <c r="L303" t="s">
        <v>19</v>
      </c>
      <c r="M303" t="s">
        <v>68</v>
      </c>
      <c r="N303" t="s">
        <v>21</v>
      </c>
      <c r="O303">
        <v>0.2</v>
      </c>
      <c r="P303" t="s">
        <v>27</v>
      </c>
      <c r="Q303" t="s">
        <v>53</v>
      </c>
    </row>
    <row r="304" spans="1:17">
      <c r="A304">
        <v>66823187</v>
      </c>
      <c r="B304" t="s">
        <v>54</v>
      </c>
      <c r="C304" t="s">
        <v>34</v>
      </c>
      <c r="D304" s="1">
        <v>48426</v>
      </c>
      <c r="E304">
        <v>4192</v>
      </c>
      <c r="F304">
        <v>45</v>
      </c>
      <c r="G304" s="2">
        <v>1.0699999999999999E-2</v>
      </c>
      <c r="H304" s="2">
        <f>Table1[[#This Row],[İade Miktarı]]/Table1[[#This Row],[Satış Miktarı]]</f>
        <v>1.0734732824427481E-2</v>
      </c>
      <c r="I304" t="s">
        <v>45</v>
      </c>
      <c r="J304">
        <v>38</v>
      </c>
      <c r="K304">
        <f>Table1[[#This Row],[Satış Miktarı]]*Table1[[#This Row],[Satış Fiyatı]]</f>
        <v>159296</v>
      </c>
      <c r="L304" t="s">
        <v>19</v>
      </c>
      <c r="M304" t="s">
        <v>71</v>
      </c>
      <c r="N304" t="s">
        <v>76</v>
      </c>
      <c r="O304">
        <v>0.2</v>
      </c>
      <c r="P304" t="s">
        <v>22</v>
      </c>
      <c r="Q304" t="s">
        <v>83</v>
      </c>
    </row>
    <row r="305" spans="1:17">
      <c r="A305">
        <v>39261039</v>
      </c>
      <c r="B305" t="s">
        <v>57</v>
      </c>
      <c r="C305" t="s">
        <v>34</v>
      </c>
      <c r="D305" s="1">
        <v>48401</v>
      </c>
      <c r="E305">
        <v>4896</v>
      </c>
      <c r="F305">
        <v>32</v>
      </c>
      <c r="G305" s="2">
        <v>6.4999999999999997E-3</v>
      </c>
      <c r="H305" s="2">
        <f>Table1[[#This Row],[İade Miktarı]]/Table1[[#This Row],[Satış Miktarı]]</f>
        <v>6.5359477124183009E-3</v>
      </c>
      <c r="I305" t="s">
        <v>18</v>
      </c>
      <c r="J305">
        <v>26</v>
      </c>
      <c r="K305">
        <f>Table1[[#This Row],[Satış Miktarı]]*Table1[[#This Row],[Satış Fiyatı]]</f>
        <v>127296</v>
      </c>
      <c r="L305" t="s">
        <v>19</v>
      </c>
      <c r="M305" t="s">
        <v>74</v>
      </c>
      <c r="N305" t="s">
        <v>47</v>
      </c>
      <c r="O305">
        <v>0.2</v>
      </c>
      <c r="P305" t="s">
        <v>27</v>
      </c>
      <c r="Q305" t="s">
        <v>83</v>
      </c>
    </row>
    <row r="306" spans="1:17">
      <c r="A306">
        <v>469383305</v>
      </c>
      <c r="B306" t="s">
        <v>59</v>
      </c>
      <c r="C306" t="s">
        <v>17</v>
      </c>
      <c r="D306" s="1">
        <v>47815</v>
      </c>
      <c r="E306">
        <v>2440</v>
      </c>
      <c r="F306">
        <v>42</v>
      </c>
      <c r="G306" s="2">
        <v>1.72E-2</v>
      </c>
      <c r="H306" s="2">
        <f>Table1[[#This Row],[İade Miktarı]]/Table1[[#This Row],[Satış Miktarı]]</f>
        <v>1.7213114754098362E-2</v>
      </c>
      <c r="I306" t="s">
        <v>18</v>
      </c>
      <c r="J306">
        <v>38</v>
      </c>
      <c r="K306">
        <f>Table1[[#This Row],[Satış Miktarı]]*Table1[[#This Row],[Satış Fiyatı]]</f>
        <v>92720</v>
      </c>
      <c r="L306" t="s">
        <v>19</v>
      </c>
      <c r="M306" t="s">
        <v>20</v>
      </c>
      <c r="N306" t="s">
        <v>26</v>
      </c>
      <c r="O306">
        <v>0.2</v>
      </c>
      <c r="P306" t="s">
        <v>22</v>
      </c>
      <c r="Q306" t="s">
        <v>66</v>
      </c>
    </row>
    <row r="307" spans="1:17">
      <c r="A307">
        <v>320819695</v>
      </c>
      <c r="B307" t="s">
        <v>63</v>
      </c>
      <c r="C307" t="s">
        <v>17</v>
      </c>
      <c r="D307" s="1">
        <v>48263</v>
      </c>
      <c r="E307">
        <v>2557</v>
      </c>
      <c r="F307">
        <v>14</v>
      </c>
      <c r="G307" s="2">
        <v>5.4999999999999997E-3</v>
      </c>
      <c r="H307" s="2">
        <f>Table1[[#This Row],[İade Miktarı]]/Table1[[#This Row],[Satış Miktarı]]</f>
        <v>5.4751662104028159E-3</v>
      </c>
      <c r="I307" t="s">
        <v>18</v>
      </c>
      <c r="J307">
        <v>22</v>
      </c>
      <c r="K307">
        <f>Table1[[#This Row],[Satış Miktarı]]*Table1[[#This Row],[Satış Fiyatı]]</f>
        <v>56254</v>
      </c>
      <c r="L307" t="s">
        <v>19</v>
      </c>
      <c r="M307" t="s">
        <v>25</v>
      </c>
      <c r="N307" t="s">
        <v>31</v>
      </c>
      <c r="O307">
        <v>0.2</v>
      </c>
      <c r="P307" t="s">
        <v>22</v>
      </c>
      <c r="Q307" t="s">
        <v>69</v>
      </c>
    </row>
    <row r="308" spans="1:17">
      <c r="A308">
        <v>743811693</v>
      </c>
      <c r="B308" t="s">
        <v>29</v>
      </c>
      <c r="C308" t="s">
        <v>17</v>
      </c>
      <c r="D308" s="1">
        <v>48377</v>
      </c>
      <c r="E308">
        <v>3409</v>
      </c>
      <c r="F308">
        <v>48</v>
      </c>
      <c r="G308" s="2">
        <v>1.41E-2</v>
      </c>
      <c r="H308" s="2">
        <f>Table1[[#This Row],[İade Miktarı]]/Table1[[#This Row],[Satış Miktarı]]</f>
        <v>1.4080375476679377E-2</v>
      </c>
      <c r="I308" t="s">
        <v>18</v>
      </c>
      <c r="J308">
        <v>44</v>
      </c>
      <c r="K308">
        <f>Table1[[#This Row],[Satış Miktarı]]*Table1[[#This Row],[Satış Fiyatı]]</f>
        <v>149996</v>
      </c>
      <c r="L308" t="s">
        <v>19</v>
      </c>
      <c r="M308" t="s">
        <v>30</v>
      </c>
      <c r="N308" t="s">
        <v>47</v>
      </c>
      <c r="O308">
        <v>0.2</v>
      </c>
      <c r="P308" t="s">
        <v>27</v>
      </c>
      <c r="Q308" t="s">
        <v>62</v>
      </c>
    </row>
    <row r="309" spans="1:17">
      <c r="A309">
        <v>230398745</v>
      </c>
      <c r="B309" t="s">
        <v>33</v>
      </c>
      <c r="C309" t="s">
        <v>34</v>
      </c>
      <c r="D309" s="1">
        <v>48213</v>
      </c>
      <c r="E309">
        <v>4947</v>
      </c>
      <c r="F309">
        <v>32</v>
      </c>
      <c r="G309" s="2">
        <v>6.4999999999999997E-3</v>
      </c>
      <c r="H309" s="2">
        <f>Table1[[#This Row],[İade Miktarı]]/Table1[[#This Row],[Satış Miktarı]]</f>
        <v>6.4685668081665652E-3</v>
      </c>
      <c r="I309" t="s">
        <v>18</v>
      </c>
      <c r="J309">
        <v>39</v>
      </c>
      <c r="K309">
        <f>Table1[[#This Row],[Satış Miktarı]]*Table1[[#This Row],[Satış Fiyatı]]</f>
        <v>192933</v>
      </c>
      <c r="L309" t="s">
        <v>19</v>
      </c>
      <c r="M309" t="s">
        <v>35</v>
      </c>
      <c r="N309" t="s">
        <v>31</v>
      </c>
      <c r="O309">
        <v>0.2</v>
      </c>
      <c r="P309" t="s">
        <v>22</v>
      </c>
      <c r="Q309" t="s">
        <v>66</v>
      </c>
    </row>
    <row r="310" spans="1:17">
      <c r="A310">
        <v>937610170</v>
      </c>
      <c r="B310" t="s">
        <v>37</v>
      </c>
      <c r="C310" t="s">
        <v>34</v>
      </c>
      <c r="D310" s="1">
        <v>48092</v>
      </c>
      <c r="E310">
        <v>3573</v>
      </c>
      <c r="F310">
        <v>36</v>
      </c>
      <c r="G310" s="2">
        <v>1.01E-2</v>
      </c>
      <c r="H310" s="2">
        <f>Table1[[#This Row],[İade Miktarı]]/Table1[[#This Row],[Satış Miktarı]]</f>
        <v>1.0075566750629723E-2</v>
      </c>
      <c r="I310" t="s">
        <v>18</v>
      </c>
      <c r="J310">
        <v>22</v>
      </c>
      <c r="K310">
        <f>Table1[[#This Row],[Satış Miktarı]]*Table1[[#This Row],[Satış Fiyatı]]</f>
        <v>78606</v>
      </c>
      <c r="L310" t="s">
        <v>19</v>
      </c>
      <c r="M310" t="s">
        <v>38</v>
      </c>
      <c r="N310" t="s">
        <v>78</v>
      </c>
      <c r="O310">
        <v>0.2</v>
      </c>
      <c r="P310" t="s">
        <v>27</v>
      </c>
      <c r="Q310" t="s">
        <v>32</v>
      </c>
    </row>
    <row r="311" spans="1:17">
      <c r="A311">
        <v>164110663</v>
      </c>
      <c r="B311" t="s">
        <v>41</v>
      </c>
      <c r="C311" t="s">
        <v>17</v>
      </c>
      <c r="D311" s="1">
        <v>47493</v>
      </c>
      <c r="E311">
        <v>1270</v>
      </c>
      <c r="F311">
        <v>17</v>
      </c>
      <c r="G311" s="2">
        <v>1.34E-2</v>
      </c>
      <c r="H311" s="2">
        <f>Table1[[#This Row],[İade Miktarı]]/Table1[[#This Row],[Satış Miktarı]]</f>
        <v>1.3385826771653543E-2</v>
      </c>
      <c r="I311" t="s">
        <v>18</v>
      </c>
      <c r="J311">
        <v>27</v>
      </c>
      <c r="K311">
        <f>Table1[[#This Row],[Satış Miktarı]]*Table1[[#This Row],[Satış Fiyatı]]</f>
        <v>34290</v>
      </c>
      <c r="L311" t="s">
        <v>19</v>
      </c>
      <c r="M311" t="s">
        <v>42</v>
      </c>
      <c r="N311" t="s">
        <v>78</v>
      </c>
      <c r="O311">
        <v>0.2</v>
      </c>
      <c r="P311" t="s">
        <v>22</v>
      </c>
      <c r="Q311" t="s">
        <v>48</v>
      </c>
    </row>
    <row r="312" spans="1:17">
      <c r="A312">
        <v>192369972</v>
      </c>
      <c r="B312" t="s">
        <v>44</v>
      </c>
      <c r="C312" t="s">
        <v>17</v>
      </c>
      <c r="D312" s="1">
        <v>48278</v>
      </c>
      <c r="E312">
        <v>3912</v>
      </c>
      <c r="F312">
        <v>34</v>
      </c>
      <c r="G312" s="2">
        <v>8.6999999999999994E-3</v>
      </c>
      <c r="H312" s="2">
        <f>Table1[[#This Row],[İade Miktarı]]/Table1[[#This Row],[Satış Miktarı]]</f>
        <v>8.6912065439672809E-3</v>
      </c>
      <c r="I312" t="s">
        <v>18</v>
      </c>
      <c r="J312">
        <v>38</v>
      </c>
      <c r="K312">
        <f>Table1[[#This Row],[Satış Miktarı]]*Table1[[#This Row],[Satış Fiyatı]]</f>
        <v>148656</v>
      </c>
      <c r="L312" t="s">
        <v>19</v>
      </c>
      <c r="M312" t="s">
        <v>46</v>
      </c>
      <c r="N312" t="s">
        <v>21</v>
      </c>
      <c r="O312">
        <v>0.2</v>
      </c>
      <c r="P312" t="s">
        <v>22</v>
      </c>
      <c r="Q312" t="s">
        <v>36</v>
      </c>
    </row>
    <row r="313" spans="1:17">
      <c r="A313">
        <v>555555504</v>
      </c>
      <c r="B313" t="s">
        <v>49</v>
      </c>
      <c r="C313" t="s">
        <v>34</v>
      </c>
      <c r="D313" s="1">
        <v>47490</v>
      </c>
      <c r="E313">
        <v>3569</v>
      </c>
      <c r="F313">
        <v>43</v>
      </c>
      <c r="G313" s="2">
        <v>1.2E-2</v>
      </c>
      <c r="H313" s="2">
        <f>Table1[[#This Row],[İade Miktarı]]/Table1[[#This Row],[Satış Miktarı]]</f>
        <v>1.2048192771084338E-2</v>
      </c>
      <c r="I313" t="s">
        <v>18</v>
      </c>
      <c r="J313">
        <v>47</v>
      </c>
      <c r="K313">
        <f>Table1[[#This Row],[Satış Miktarı]]*Table1[[#This Row],[Satış Fiyatı]]</f>
        <v>167743</v>
      </c>
      <c r="L313" t="s">
        <v>19</v>
      </c>
      <c r="M313" t="s">
        <v>46</v>
      </c>
      <c r="N313" t="s">
        <v>47</v>
      </c>
      <c r="O313">
        <v>0.2</v>
      </c>
      <c r="P313" t="s">
        <v>22</v>
      </c>
      <c r="Q313" t="s">
        <v>40</v>
      </c>
    </row>
    <row r="314" spans="1:17">
      <c r="A314">
        <v>606299653</v>
      </c>
      <c r="B314" t="s">
        <v>51</v>
      </c>
      <c r="C314" t="s">
        <v>17</v>
      </c>
      <c r="D314" s="1">
        <v>47505</v>
      </c>
      <c r="E314">
        <v>3359</v>
      </c>
      <c r="F314">
        <v>23</v>
      </c>
      <c r="G314" s="2">
        <v>6.7999999999999996E-3</v>
      </c>
      <c r="H314" s="2">
        <f>Table1[[#This Row],[İade Miktarı]]/Table1[[#This Row],[Satış Miktarı]]</f>
        <v>6.8472759749925571E-3</v>
      </c>
      <c r="I314" t="s">
        <v>18</v>
      </c>
      <c r="J314">
        <v>20</v>
      </c>
      <c r="K314">
        <f>Table1[[#This Row],[Satış Miktarı]]*Table1[[#This Row],[Satış Fiyatı]]</f>
        <v>67180</v>
      </c>
      <c r="L314" t="s">
        <v>19</v>
      </c>
      <c r="M314" t="s">
        <v>52</v>
      </c>
      <c r="N314" t="s">
        <v>61</v>
      </c>
      <c r="O314">
        <v>0.2</v>
      </c>
      <c r="P314" t="s">
        <v>22</v>
      </c>
      <c r="Q314" t="s">
        <v>48</v>
      </c>
    </row>
    <row r="315" spans="1:17">
      <c r="A315">
        <v>408112860</v>
      </c>
      <c r="B315" t="s">
        <v>54</v>
      </c>
      <c r="C315" t="s">
        <v>34</v>
      </c>
      <c r="D315" s="1">
        <v>48512</v>
      </c>
      <c r="E315">
        <v>4200</v>
      </c>
      <c r="F315">
        <v>22</v>
      </c>
      <c r="G315" s="2">
        <v>5.1999999999999998E-3</v>
      </c>
      <c r="H315" s="2">
        <f>Table1[[#This Row],[İade Miktarı]]/Table1[[#This Row],[Satış Miktarı]]</f>
        <v>5.2380952380952379E-3</v>
      </c>
      <c r="I315" t="s">
        <v>18</v>
      </c>
      <c r="J315">
        <v>33</v>
      </c>
      <c r="K315">
        <f>Table1[[#This Row],[Satış Miktarı]]*Table1[[#This Row],[Satış Fiyatı]]</f>
        <v>138600</v>
      </c>
      <c r="L315" t="s">
        <v>19</v>
      </c>
      <c r="M315" t="s">
        <v>55</v>
      </c>
      <c r="N315" t="s">
        <v>43</v>
      </c>
      <c r="O315">
        <v>0.2</v>
      </c>
      <c r="P315" t="s">
        <v>27</v>
      </c>
      <c r="Q315" t="s">
        <v>80</v>
      </c>
    </row>
    <row r="316" spans="1:17">
      <c r="A316">
        <v>325632395</v>
      </c>
      <c r="B316" t="s">
        <v>57</v>
      </c>
      <c r="C316" t="s">
        <v>34</v>
      </c>
      <c r="D316" s="1">
        <v>48321</v>
      </c>
      <c r="E316">
        <v>1768</v>
      </c>
      <c r="F316">
        <v>50</v>
      </c>
      <c r="G316" s="2">
        <v>2.8299999999999999E-2</v>
      </c>
      <c r="H316" s="2">
        <f>Table1[[#This Row],[İade Miktarı]]/Table1[[#This Row],[Satış Miktarı]]</f>
        <v>2.828054298642534E-2</v>
      </c>
      <c r="I316" t="s">
        <v>18</v>
      </c>
      <c r="J316">
        <v>40</v>
      </c>
      <c r="K316">
        <f>Table1[[#This Row],[Satış Miktarı]]*Table1[[#This Row],[Satış Fiyatı]]</f>
        <v>70720</v>
      </c>
      <c r="L316" t="s">
        <v>19</v>
      </c>
      <c r="M316" t="s">
        <v>58</v>
      </c>
      <c r="N316" t="s">
        <v>76</v>
      </c>
      <c r="O316">
        <v>0.2</v>
      </c>
      <c r="P316" t="s">
        <v>27</v>
      </c>
      <c r="Q316" t="s">
        <v>62</v>
      </c>
    </row>
    <row r="317" spans="1:17">
      <c r="A317">
        <v>886575714</v>
      </c>
      <c r="B317" t="s">
        <v>59</v>
      </c>
      <c r="C317" t="s">
        <v>17</v>
      </c>
      <c r="D317" s="1">
        <v>47725</v>
      </c>
      <c r="E317">
        <v>2594</v>
      </c>
      <c r="F317">
        <v>42</v>
      </c>
      <c r="G317" s="2">
        <v>1.6199999999999999E-2</v>
      </c>
      <c r="H317" s="2">
        <f>Table1[[#This Row],[İade Miktarı]]/Table1[[#This Row],[Satış Miktarı]]</f>
        <v>1.6191210485736313E-2</v>
      </c>
      <c r="I317" t="s">
        <v>45</v>
      </c>
      <c r="J317">
        <v>28</v>
      </c>
      <c r="K317">
        <f>Table1[[#This Row],[Satış Miktarı]]*Table1[[#This Row],[Satış Fiyatı]]</f>
        <v>72632</v>
      </c>
      <c r="L317" t="s">
        <v>19</v>
      </c>
      <c r="M317" t="s">
        <v>60</v>
      </c>
      <c r="N317" t="s">
        <v>43</v>
      </c>
      <c r="O317">
        <v>0.2</v>
      </c>
      <c r="P317" t="s">
        <v>27</v>
      </c>
      <c r="Q317" t="s">
        <v>32</v>
      </c>
    </row>
    <row r="318" spans="1:17">
      <c r="A318">
        <v>763654449</v>
      </c>
      <c r="B318" t="s">
        <v>63</v>
      </c>
      <c r="C318" t="s">
        <v>17</v>
      </c>
      <c r="D318" s="1">
        <v>47928</v>
      </c>
      <c r="E318">
        <v>2107</v>
      </c>
      <c r="F318">
        <v>29</v>
      </c>
      <c r="G318" s="2">
        <v>1.38E-2</v>
      </c>
      <c r="H318" s="2">
        <f>Table1[[#This Row],[İade Miktarı]]/Table1[[#This Row],[Satış Miktarı]]</f>
        <v>1.3763644992880873E-2</v>
      </c>
      <c r="I318" t="s">
        <v>18</v>
      </c>
      <c r="J318">
        <v>46</v>
      </c>
      <c r="K318">
        <f>Table1[[#This Row],[Satış Miktarı]]*Table1[[#This Row],[Satış Fiyatı]]</f>
        <v>96922</v>
      </c>
      <c r="L318" t="s">
        <v>19</v>
      </c>
      <c r="M318" t="s">
        <v>64</v>
      </c>
      <c r="N318" t="s">
        <v>61</v>
      </c>
      <c r="O318">
        <v>0.2</v>
      </c>
      <c r="P318" t="s">
        <v>22</v>
      </c>
      <c r="Q318" t="s">
        <v>36</v>
      </c>
    </row>
    <row r="319" spans="1:17">
      <c r="A319">
        <v>942852441</v>
      </c>
      <c r="B319" t="s">
        <v>67</v>
      </c>
      <c r="C319" t="s">
        <v>17</v>
      </c>
      <c r="D319" s="1">
        <v>48045</v>
      </c>
      <c r="E319">
        <v>1686</v>
      </c>
      <c r="F319">
        <v>33</v>
      </c>
      <c r="G319" s="2">
        <v>1.9599999999999999E-2</v>
      </c>
      <c r="H319" s="2">
        <f>Table1[[#This Row],[İade Miktarı]]/Table1[[#This Row],[Satış Miktarı]]</f>
        <v>1.9572953736654804E-2</v>
      </c>
      <c r="I319" t="s">
        <v>18</v>
      </c>
      <c r="J319">
        <v>49</v>
      </c>
      <c r="K319">
        <f>Table1[[#This Row],[Satış Miktarı]]*Table1[[#This Row],[Satış Fiyatı]]</f>
        <v>82614</v>
      </c>
      <c r="L319" t="s">
        <v>19</v>
      </c>
      <c r="M319" t="s">
        <v>68</v>
      </c>
      <c r="N319" t="s">
        <v>76</v>
      </c>
      <c r="O319">
        <v>0.2</v>
      </c>
      <c r="P319" t="s">
        <v>27</v>
      </c>
      <c r="Q319" t="s">
        <v>79</v>
      </c>
    </row>
    <row r="320" spans="1:17">
      <c r="A320">
        <v>864574031</v>
      </c>
      <c r="B320" t="s">
        <v>70</v>
      </c>
      <c r="C320" t="s">
        <v>17</v>
      </c>
      <c r="D320" s="1">
        <v>48305</v>
      </c>
      <c r="E320">
        <v>2160</v>
      </c>
      <c r="F320">
        <v>29</v>
      </c>
      <c r="G320" s="2">
        <v>1.34E-2</v>
      </c>
      <c r="H320" s="2">
        <f>Table1[[#This Row],[İade Miktarı]]/Table1[[#This Row],[Satış Miktarı]]</f>
        <v>1.3425925925925926E-2</v>
      </c>
      <c r="I320" t="s">
        <v>18</v>
      </c>
      <c r="J320">
        <v>36</v>
      </c>
      <c r="K320">
        <f>Table1[[#This Row],[Satış Miktarı]]*Table1[[#This Row],[Satış Fiyatı]]</f>
        <v>77760</v>
      </c>
      <c r="L320" t="s">
        <v>19</v>
      </c>
      <c r="M320" t="s">
        <v>71</v>
      </c>
      <c r="N320" t="s">
        <v>47</v>
      </c>
      <c r="O320">
        <v>0.2</v>
      </c>
      <c r="P320" t="s">
        <v>27</v>
      </c>
      <c r="Q320" t="s">
        <v>56</v>
      </c>
    </row>
    <row r="321" spans="1:17">
      <c r="A321">
        <v>512470980</v>
      </c>
      <c r="B321" t="s">
        <v>73</v>
      </c>
      <c r="C321" t="s">
        <v>17</v>
      </c>
      <c r="D321" s="1">
        <v>47939</v>
      </c>
      <c r="E321">
        <v>4346</v>
      </c>
      <c r="F321">
        <v>36</v>
      </c>
      <c r="G321" s="2">
        <v>8.3000000000000001E-3</v>
      </c>
      <c r="H321" s="2">
        <f>Table1[[#This Row],[İade Miktarı]]/Table1[[#This Row],[Satış Miktarı]]</f>
        <v>8.283479061205707E-3</v>
      </c>
      <c r="I321" t="s">
        <v>18</v>
      </c>
      <c r="J321">
        <v>28</v>
      </c>
      <c r="K321">
        <f>Table1[[#This Row],[Satış Miktarı]]*Table1[[#This Row],[Satış Fiyatı]]</f>
        <v>121688</v>
      </c>
      <c r="L321" t="s">
        <v>19</v>
      </c>
      <c r="M321" t="s">
        <v>74</v>
      </c>
      <c r="N321" t="s">
        <v>21</v>
      </c>
      <c r="O321">
        <v>0.2</v>
      </c>
      <c r="P321" t="s">
        <v>27</v>
      </c>
      <c r="Q321" t="s">
        <v>40</v>
      </c>
    </row>
    <row r="322" spans="1:17">
      <c r="A322">
        <v>980572645</v>
      </c>
      <c r="B322" t="s">
        <v>16</v>
      </c>
      <c r="C322" t="s">
        <v>17</v>
      </c>
      <c r="D322" s="1">
        <v>48268</v>
      </c>
      <c r="E322">
        <v>1141</v>
      </c>
      <c r="F322">
        <v>22</v>
      </c>
      <c r="G322" s="2">
        <v>1.9300000000000001E-2</v>
      </c>
      <c r="H322" s="2">
        <f>Table1[[#This Row],[İade Miktarı]]/Table1[[#This Row],[Satış Miktarı]]</f>
        <v>1.9281332164767746E-2</v>
      </c>
      <c r="I322" t="s">
        <v>18</v>
      </c>
      <c r="J322">
        <v>36</v>
      </c>
      <c r="K322">
        <f>Table1[[#This Row],[Satış Miktarı]]*Table1[[#This Row],[Satış Fiyatı]]</f>
        <v>41076</v>
      </c>
      <c r="L322" t="s">
        <v>19</v>
      </c>
      <c r="M322" t="s">
        <v>20</v>
      </c>
      <c r="N322" t="s">
        <v>43</v>
      </c>
      <c r="O322">
        <v>0.2</v>
      </c>
      <c r="P322" t="s">
        <v>22</v>
      </c>
      <c r="Q322" t="s">
        <v>53</v>
      </c>
    </row>
    <row r="323" spans="1:17">
      <c r="A323">
        <v>563226510</v>
      </c>
      <c r="B323" t="s">
        <v>24</v>
      </c>
      <c r="C323" t="s">
        <v>17</v>
      </c>
      <c r="D323" s="1">
        <v>47534</v>
      </c>
      <c r="E323">
        <v>2243</v>
      </c>
      <c r="F323">
        <v>50</v>
      </c>
      <c r="G323" s="2">
        <v>2.23E-2</v>
      </c>
      <c r="H323" s="2">
        <f>Table1[[#This Row],[İade Miktarı]]/Table1[[#This Row],[Satış Miktarı]]</f>
        <v>2.229157378510923E-2</v>
      </c>
      <c r="I323" t="s">
        <v>18</v>
      </c>
      <c r="J323">
        <v>22</v>
      </c>
      <c r="K323">
        <f>Table1[[#This Row],[Satış Miktarı]]*Table1[[#This Row],[Satış Fiyatı]]</f>
        <v>49346</v>
      </c>
      <c r="L323" t="s">
        <v>19</v>
      </c>
      <c r="M323" t="s">
        <v>25</v>
      </c>
      <c r="N323" t="s">
        <v>65</v>
      </c>
      <c r="O323">
        <v>0.2</v>
      </c>
      <c r="P323" t="s">
        <v>22</v>
      </c>
      <c r="Q323" t="s">
        <v>53</v>
      </c>
    </row>
    <row r="324" spans="1:17">
      <c r="A324">
        <v>589173225</v>
      </c>
      <c r="B324" t="s">
        <v>29</v>
      </c>
      <c r="C324" t="s">
        <v>17</v>
      </c>
      <c r="D324" s="1">
        <v>47758</v>
      </c>
      <c r="E324">
        <v>2955</v>
      </c>
      <c r="F324">
        <v>19</v>
      </c>
      <c r="G324" s="2">
        <v>6.4000000000000003E-3</v>
      </c>
      <c r="H324" s="2">
        <f>Table1[[#This Row],[İade Miktarı]]/Table1[[#This Row],[Satış Miktarı]]</f>
        <v>6.4297800338409478E-3</v>
      </c>
      <c r="I324" t="s">
        <v>18</v>
      </c>
      <c r="J324">
        <v>31</v>
      </c>
      <c r="K324">
        <f>Table1[[#This Row],[Satış Miktarı]]*Table1[[#This Row],[Satış Fiyatı]]</f>
        <v>91605</v>
      </c>
      <c r="L324" t="s">
        <v>19</v>
      </c>
      <c r="M324" t="s">
        <v>30</v>
      </c>
      <c r="N324" t="s">
        <v>78</v>
      </c>
      <c r="O324">
        <v>0.2</v>
      </c>
      <c r="P324" t="s">
        <v>22</v>
      </c>
      <c r="Q324" t="s">
        <v>82</v>
      </c>
    </row>
    <row r="325" spans="1:17">
      <c r="A325">
        <v>834244564</v>
      </c>
      <c r="B325" t="s">
        <v>33</v>
      </c>
      <c r="C325" t="s">
        <v>34</v>
      </c>
      <c r="D325" s="1">
        <v>47576</v>
      </c>
      <c r="E325">
        <v>1065</v>
      </c>
      <c r="F325">
        <v>10</v>
      </c>
      <c r="G325" s="2">
        <v>9.4000000000000004E-3</v>
      </c>
      <c r="H325" s="2">
        <f>Table1[[#This Row],[İade Miktarı]]/Table1[[#This Row],[Satış Miktarı]]</f>
        <v>9.3896713615023476E-3</v>
      </c>
      <c r="I325" t="s">
        <v>18</v>
      </c>
      <c r="J325">
        <v>20</v>
      </c>
      <c r="K325">
        <f>Table1[[#This Row],[Satış Miktarı]]*Table1[[#This Row],[Satış Fiyatı]]</f>
        <v>21300</v>
      </c>
      <c r="L325" t="s">
        <v>19</v>
      </c>
      <c r="M325" t="s">
        <v>35</v>
      </c>
      <c r="N325" t="s">
        <v>31</v>
      </c>
      <c r="O325">
        <v>0.2</v>
      </c>
      <c r="P325" t="s">
        <v>27</v>
      </c>
      <c r="Q325" t="s">
        <v>72</v>
      </c>
    </row>
    <row r="326" spans="1:17">
      <c r="A326">
        <v>998333129</v>
      </c>
      <c r="B326" t="s">
        <v>37</v>
      </c>
      <c r="C326" t="s">
        <v>34</v>
      </c>
      <c r="D326" s="1">
        <v>47862</v>
      </c>
      <c r="E326">
        <v>2531</v>
      </c>
      <c r="F326">
        <v>36</v>
      </c>
      <c r="G326" s="2">
        <v>1.4200000000000001E-2</v>
      </c>
      <c r="H326" s="2">
        <f>Table1[[#This Row],[İade Miktarı]]/Table1[[#This Row],[Satış Miktarı]]</f>
        <v>1.4223627024891347E-2</v>
      </c>
      <c r="I326" t="s">
        <v>18</v>
      </c>
      <c r="J326">
        <v>41</v>
      </c>
      <c r="K326">
        <f>Table1[[#This Row],[Satış Miktarı]]*Table1[[#This Row],[Satış Fiyatı]]</f>
        <v>103771</v>
      </c>
      <c r="L326" t="s">
        <v>19</v>
      </c>
      <c r="M326" t="s">
        <v>38</v>
      </c>
      <c r="N326" t="s">
        <v>39</v>
      </c>
      <c r="O326">
        <v>0.2</v>
      </c>
      <c r="P326" t="s">
        <v>27</v>
      </c>
      <c r="Q326" t="s">
        <v>79</v>
      </c>
    </row>
    <row r="327" spans="1:17">
      <c r="A327">
        <v>163967671</v>
      </c>
      <c r="B327" t="s">
        <v>41</v>
      </c>
      <c r="C327" t="s">
        <v>17</v>
      </c>
      <c r="D327" s="1">
        <v>47818</v>
      </c>
      <c r="E327">
        <v>3063</v>
      </c>
      <c r="F327">
        <v>29</v>
      </c>
      <c r="G327" s="2">
        <v>9.4999999999999998E-3</v>
      </c>
      <c r="H327" s="2">
        <f>Table1[[#This Row],[İade Miktarı]]/Table1[[#This Row],[Satış Miktarı]]</f>
        <v>9.4678419849820433E-3</v>
      </c>
      <c r="I327" t="s">
        <v>18</v>
      </c>
      <c r="J327">
        <v>32</v>
      </c>
      <c r="K327">
        <f>Table1[[#This Row],[Satış Miktarı]]*Table1[[#This Row],[Satış Fiyatı]]</f>
        <v>98016</v>
      </c>
      <c r="L327" t="s">
        <v>19</v>
      </c>
      <c r="M327" t="s">
        <v>42</v>
      </c>
      <c r="N327" t="s">
        <v>43</v>
      </c>
      <c r="O327">
        <v>0.2</v>
      </c>
      <c r="P327" t="s">
        <v>22</v>
      </c>
      <c r="Q327" t="s">
        <v>32</v>
      </c>
    </row>
    <row r="328" spans="1:17">
      <c r="A328">
        <v>900522368</v>
      </c>
      <c r="B328" t="s">
        <v>44</v>
      </c>
      <c r="C328" t="s">
        <v>17</v>
      </c>
      <c r="D328" s="1">
        <v>47827</v>
      </c>
      <c r="E328">
        <v>1067</v>
      </c>
      <c r="F328">
        <v>50</v>
      </c>
      <c r="G328" s="2">
        <v>4.6899999999999997E-2</v>
      </c>
      <c r="H328" s="2">
        <f>Table1[[#This Row],[İade Miktarı]]/Table1[[#This Row],[Satış Miktarı]]</f>
        <v>4.6860356138706656E-2</v>
      </c>
      <c r="I328" t="s">
        <v>18</v>
      </c>
      <c r="J328">
        <v>48</v>
      </c>
      <c r="K328">
        <f>Table1[[#This Row],[Satış Miktarı]]*Table1[[#This Row],[Satış Fiyatı]]</f>
        <v>51216</v>
      </c>
      <c r="L328" t="s">
        <v>19</v>
      </c>
      <c r="M328" t="s">
        <v>46</v>
      </c>
      <c r="N328" t="s">
        <v>65</v>
      </c>
      <c r="O328">
        <v>0.2</v>
      </c>
      <c r="P328" t="s">
        <v>27</v>
      </c>
      <c r="Q328" t="s">
        <v>79</v>
      </c>
    </row>
    <row r="329" spans="1:17">
      <c r="A329">
        <v>413196922</v>
      </c>
      <c r="B329" t="s">
        <v>49</v>
      </c>
      <c r="C329" t="s">
        <v>34</v>
      </c>
      <c r="D329" s="1">
        <v>48471</v>
      </c>
      <c r="E329">
        <v>1236</v>
      </c>
      <c r="F329">
        <v>27</v>
      </c>
      <c r="G329" s="2">
        <v>2.18E-2</v>
      </c>
      <c r="H329" s="2">
        <f>Table1[[#This Row],[İade Miktarı]]/Table1[[#This Row],[Satış Miktarı]]</f>
        <v>2.1844660194174758E-2</v>
      </c>
      <c r="I329" t="s">
        <v>18</v>
      </c>
      <c r="J329">
        <v>38</v>
      </c>
      <c r="K329">
        <f>Table1[[#This Row],[Satış Miktarı]]*Table1[[#This Row],[Satış Fiyatı]]</f>
        <v>46968</v>
      </c>
      <c r="L329" t="s">
        <v>19</v>
      </c>
      <c r="M329" t="s">
        <v>46</v>
      </c>
      <c r="N329" t="s">
        <v>43</v>
      </c>
      <c r="O329">
        <v>0.2</v>
      </c>
      <c r="P329" t="s">
        <v>22</v>
      </c>
      <c r="Q329" t="s">
        <v>80</v>
      </c>
    </row>
    <row r="330" spans="1:17">
      <c r="A330">
        <v>453320891</v>
      </c>
      <c r="B330" t="s">
        <v>51</v>
      </c>
      <c r="C330" t="s">
        <v>17</v>
      </c>
      <c r="D330" s="1">
        <v>47884</v>
      </c>
      <c r="E330">
        <v>3690</v>
      </c>
      <c r="F330">
        <v>13</v>
      </c>
      <c r="G330" s="2">
        <v>3.5000000000000001E-3</v>
      </c>
      <c r="H330" s="2">
        <f>Table1[[#This Row],[İade Miktarı]]/Table1[[#This Row],[Satış Miktarı]]</f>
        <v>3.5230352303523035E-3</v>
      </c>
      <c r="I330" t="s">
        <v>18</v>
      </c>
      <c r="J330">
        <v>25</v>
      </c>
      <c r="K330">
        <f>Table1[[#This Row],[Satış Miktarı]]*Table1[[#This Row],[Satış Fiyatı]]</f>
        <v>92250</v>
      </c>
      <c r="L330" t="s">
        <v>19</v>
      </c>
      <c r="M330" t="s">
        <v>52</v>
      </c>
      <c r="N330" t="s">
        <v>39</v>
      </c>
      <c r="O330">
        <v>0.2</v>
      </c>
      <c r="P330" t="s">
        <v>27</v>
      </c>
      <c r="Q330" t="s">
        <v>72</v>
      </c>
    </row>
    <row r="331" spans="1:17">
      <c r="A331">
        <v>472422663</v>
      </c>
      <c r="B331" t="s">
        <v>54</v>
      </c>
      <c r="C331" t="s">
        <v>34</v>
      </c>
      <c r="D331" s="1">
        <v>48331</v>
      </c>
      <c r="E331">
        <v>4521</v>
      </c>
      <c r="F331">
        <v>35</v>
      </c>
      <c r="G331" s="2">
        <v>7.7000000000000002E-3</v>
      </c>
      <c r="H331" s="2">
        <f>Table1[[#This Row],[İade Miktarı]]/Table1[[#This Row],[Satış Miktarı]]</f>
        <v>7.7416500774165004E-3</v>
      </c>
      <c r="I331" t="s">
        <v>18</v>
      </c>
      <c r="J331">
        <v>35</v>
      </c>
      <c r="K331">
        <f>Table1[[#This Row],[Satış Miktarı]]*Table1[[#This Row],[Satış Fiyatı]]</f>
        <v>158235</v>
      </c>
      <c r="L331" t="s">
        <v>19</v>
      </c>
      <c r="M331" t="s">
        <v>55</v>
      </c>
      <c r="N331" t="s">
        <v>21</v>
      </c>
      <c r="O331">
        <v>0.2</v>
      </c>
      <c r="P331" t="s">
        <v>22</v>
      </c>
      <c r="Q331" t="s">
        <v>32</v>
      </c>
    </row>
    <row r="332" spans="1:17">
      <c r="A332">
        <v>161464892</v>
      </c>
      <c r="B332" t="s">
        <v>57</v>
      </c>
      <c r="C332" t="s">
        <v>34</v>
      </c>
      <c r="D332" s="1">
        <v>48428</v>
      </c>
      <c r="E332">
        <v>1443</v>
      </c>
      <c r="F332">
        <v>35</v>
      </c>
      <c r="G332" s="2">
        <v>2.4299999999999999E-2</v>
      </c>
      <c r="H332" s="2">
        <f>Table1[[#This Row],[İade Miktarı]]/Table1[[#This Row],[Satış Miktarı]]</f>
        <v>2.4255024255024255E-2</v>
      </c>
      <c r="I332" t="s">
        <v>18</v>
      </c>
      <c r="J332">
        <v>24</v>
      </c>
      <c r="K332">
        <f>Table1[[#This Row],[Satış Miktarı]]*Table1[[#This Row],[Satış Fiyatı]]</f>
        <v>34632</v>
      </c>
      <c r="L332" t="s">
        <v>19</v>
      </c>
      <c r="M332" t="s">
        <v>58</v>
      </c>
      <c r="N332" t="s">
        <v>21</v>
      </c>
      <c r="O332">
        <v>0.2</v>
      </c>
      <c r="P332" t="s">
        <v>27</v>
      </c>
      <c r="Q332" t="s">
        <v>28</v>
      </c>
    </row>
    <row r="333" spans="1:17">
      <c r="A333">
        <v>233757768</v>
      </c>
      <c r="B333" t="s">
        <v>59</v>
      </c>
      <c r="C333" t="s">
        <v>17</v>
      </c>
      <c r="D333" s="1">
        <v>48115</v>
      </c>
      <c r="E333">
        <v>3013</v>
      </c>
      <c r="F333">
        <v>25</v>
      </c>
      <c r="G333" s="2">
        <v>8.3000000000000001E-3</v>
      </c>
      <c r="H333" s="2">
        <f>Table1[[#This Row],[İade Miktarı]]/Table1[[#This Row],[Satış Miktarı]]</f>
        <v>8.2973780285429798E-3</v>
      </c>
      <c r="I333" t="s">
        <v>18</v>
      </c>
      <c r="J333">
        <v>40</v>
      </c>
      <c r="K333">
        <f>Table1[[#This Row],[Satış Miktarı]]*Table1[[#This Row],[Satış Fiyatı]]</f>
        <v>120520</v>
      </c>
      <c r="L333" t="s">
        <v>19</v>
      </c>
      <c r="M333" t="s">
        <v>60</v>
      </c>
      <c r="N333" t="s">
        <v>43</v>
      </c>
      <c r="O333">
        <v>0.2</v>
      </c>
      <c r="P333" t="s">
        <v>22</v>
      </c>
      <c r="Q333" t="s">
        <v>72</v>
      </c>
    </row>
    <row r="334" spans="1:17">
      <c r="A334">
        <v>599795200</v>
      </c>
      <c r="B334" t="s">
        <v>63</v>
      </c>
      <c r="C334" t="s">
        <v>17</v>
      </c>
      <c r="D334" s="1">
        <v>48002</v>
      </c>
      <c r="E334">
        <v>3892</v>
      </c>
      <c r="F334">
        <v>50</v>
      </c>
      <c r="G334" s="2">
        <v>1.2800000000000001E-2</v>
      </c>
      <c r="H334" s="2">
        <f>Table1[[#This Row],[İade Miktarı]]/Table1[[#This Row],[Satış Miktarı]]</f>
        <v>1.2846865364850977E-2</v>
      </c>
      <c r="I334" t="s">
        <v>18</v>
      </c>
      <c r="J334">
        <v>40</v>
      </c>
      <c r="K334">
        <f>Table1[[#This Row],[Satış Miktarı]]*Table1[[#This Row],[Satış Fiyatı]]</f>
        <v>155680</v>
      </c>
      <c r="L334" t="s">
        <v>19</v>
      </c>
      <c r="M334" t="s">
        <v>64</v>
      </c>
      <c r="N334" t="s">
        <v>61</v>
      </c>
      <c r="O334">
        <v>0.2</v>
      </c>
      <c r="P334" t="s">
        <v>22</v>
      </c>
      <c r="Q334" t="s">
        <v>80</v>
      </c>
    </row>
    <row r="335" spans="1:17">
      <c r="A335">
        <v>967341269</v>
      </c>
      <c r="B335" t="s">
        <v>67</v>
      </c>
      <c r="C335" t="s">
        <v>17</v>
      </c>
      <c r="D335" s="1">
        <v>47865</v>
      </c>
      <c r="E335">
        <v>1595</v>
      </c>
      <c r="F335">
        <v>47</v>
      </c>
      <c r="G335" s="2">
        <v>2.9499999999999998E-2</v>
      </c>
      <c r="H335" s="2">
        <f>Table1[[#This Row],[İade Miktarı]]/Table1[[#This Row],[Satış Miktarı]]</f>
        <v>2.9467084639498431E-2</v>
      </c>
      <c r="I335" t="s">
        <v>18</v>
      </c>
      <c r="J335">
        <v>46</v>
      </c>
      <c r="K335">
        <f>Table1[[#This Row],[Satış Miktarı]]*Table1[[#This Row],[Satış Fiyatı]]</f>
        <v>73370</v>
      </c>
      <c r="L335" t="s">
        <v>19</v>
      </c>
      <c r="M335" t="s">
        <v>68</v>
      </c>
      <c r="N335" t="s">
        <v>61</v>
      </c>
      <c r="O335">
        <v>0.2</v>
      </c>
      <c r="P335" t="s">
        <v>27</v>
      </c>
      <c r="Q335" t="s">
        <v>69</v>
      </c>
    </row>
    <row r="336" spans="1:17">
      <c r="A336">
        <v>275160764</v>
      </c>
      <c r="B336" t="s">
        <v>70</v>
      </c>
      <c r="C336" t="s">
        <v>17</v>
      </c>
      <c r="D336" s="1">
        <v>47667</v>
      </c>
      <c r="E336">
        <v>3054</v>
      </c>
      <c r="F336">
        <v>43</v>
      </c>
      <c r="G336" s="2">
        <v>1.41E-2</v>
      </c>
      <c r="H336" s="2">
        <f>Table1[[#This Row],[İade Miktarı]]/Table1[[#This Row],[Satış Miktarı]]</f>
        <v>1.4079895219384414E-2</v>
      </c>
      <c r="I336" t="s">
        <v>18</v>
      </c>
      <c r="J336">
        <v>44</v>
      </c>
      <c r="K336">
        <f>Table1[[#This Row],[Satış Miktarı]]*Table1[[#This Row],[Satış Fiyatı]]</f>
        <v>134376</v>
      </c>
      <c r="L336" t="s">
        <v>19</v>
      </c>
      <c r="M336" t="s">
        <v>71</v>
      </c>
      <c r="N336" t="s">
        <v>21</v>
      </c>
      <c r="O336">
        <v>0.2</v>
      </c>
      <c r="P336" t="s">
        <v>27</v>
      </c>
      <c r="Q336" t="s">
        <v>36</v>
      </c>
    </row>
    <row r="337" spans="1:17">
      <c r="A337">
        <v>837123858</v>
      </c>
      <c r="B337" t="s">
        <v>73</v>
      </c>
      <c r="C337" t="s">
        <v>17</v>
      </c>
      <c r="D337" s="1">
        <v>48225</v>
      </c>
      <c r="E337">
        <v>3009</v>
      </c>
      <c r="F337">
        <v>36</v>
      </c>
      <c r="G337" s="2">
        <v>1.2E-2</v>
      </c>
      <c r="H337" s="2">
        <f>Table1[[#This Row],[İade Miktarı]]/Table1[[#This Row],[Satış Miktarı]]</f>
        <v>1.1964107676969093E-2</v>
      </c>
      <c r="I337" t="s">
        <v>18</v>
      </c>
      <c r="J337">
        <v>27</v>
      </c>
      <c r="K337">
        <f>Table1[[#This Row],[Satış Miktarı]]*Table1[[#This Row],[Satış Fiyatı]]</f>
        <v>81243</v>
      </c>
      <c r="L337" t="s">
        <v>19</v>
      </c>
      <c r="M337" t="s">
        <v>74</v>
      </c>
      <c r="N337" t="s">
        <v>50</v>
      </c>
      <c r="O337">
        <v>0.2</v>
      </c>
      <c r="P337" t="s">
        <v>27</v>
      </c>
      <c r="Q337" t="s">
        <v>23</v>
      </c>
    </row>
    <row r="338" spans="1:17">
      <c r="A338">
        <v>393637923</v>
      </c>
      <c r="B338" t="s">
        <v>16</v>
      </c>
      <c r="C338" t="s">
        <v>17</v>
      </c>
      <c r="D338" s="1">
        <v>47975</v>
      </c>
      <c r="E338">
        <v>1935</v>
      </c>
      <c r="F338">
        <v>41</v>
      </c>
      <c r="G338" s="2">
        <v>2.12E-2</v>
      </c>
      <c r="H338" s="2">
        <f>Table1[[#This Row],[İade Miktarı]]/Table1[[#This Row],[Satış Miktarı]]</f>
        <v>2.1188630490956071E-2</v>
      </c>
      <c r="I338" t="s">
        <v>18</v>
      </c>
      <c r="J338">
        <v>41</v>
      </c>
      <c r="K338">
        <f>Table1[[#This Row],[Satış Miktarı]]*Table1[[#This Row],[Satış Fiyatı]]</f>
        <v>79335</v>
      </c>
      <c r="L338" t="s">
        <v>19</v>
      </c>
      <c r="M338" t="s">
        <v>20</v>
      </c>
      <c r="N338" t="s">
        <v>76</v>
      </c>
      <c r="O338">
        <v>0.2</v>
      </c>
      <c r="P338" t="s">
        <v>22</v>
      </c>
      <c r="Q338" t="s">
        <v>82</v>
      </c>
    </row>
    <row r="339" spans="1:17">
      <c r="A339">
        <v>619683359</v>
      </c>
      <c r="B339" t="s">
        <v>24</v>
      </c>
      <c r="C339" t="s">
        <v>17</v>
      </c>
      <c r="D339" s="1">
        <v>47955</v>
      </c>
      <c r="E339">
        <v>2882</v>
      </c>
      <c r="F339">
        <v>41</v>
      </c>
      <c r="G339" s="2">
        <v>1.4200000000000001E-2</v>
      </c>
      <c r="H339" s="2">
        <f>Table1[[#This Row],[İade Miktarı]]/Table1[[#This Row],[Satış Miktarı]]</f>
        <v>1.4226231783483692E-2</v>
      </c>
      <c r="I339" t="s">
        <v>18</v>
      </c>
      <c r="J339">
        <v>44</v>
      </c>
      <c r="K339">
        <f>Table1[[#This Row],[Satış Miktarı]]*Table1[[#This Row],[Satış Fiyatı]]</f>
        <v>126808</v>
      </c>
      <c r="L339" t="s">
        <v>19</v>
      </c>
      <c r="M339" t="s">
        <v>25</v>
      </c>
      <c r="N339" t="s">
        <v>76</v>
      </c>
      <c r="O339">
        <v>0.2</v>
      </c>
      <c r="P339" t="s">
        <v>22</v>
      </c>
      <c r="Q339" t="s">
        <v>69</v>
      </c>
    </row>
    <row r="340" spans="1:17">
      <c r="A340">
        <v>774999625</v>
      </c>
      <c r="B340" t="s">
        <v>29</v>
      </c>
      <c r="C340" t="s">
        <v>17</v>
      </c>
      <c r="D340" s="1">
        <v>48473</v>
      </c>
      <c r="E340">
        <v>2267</v>
      </c>
      <c r="F340">
        <v>37</v>
      </c>
      <c r="G340" s="2">
        <v>1.6299999999999999E-2</v>
      </c>
      <c r="H340" s="2">
        <f>Table1[[#This Row],[İade Miktarı]]/Table1[[#This Row],[Satış Miktarı]]</f>
        <v>1.6321129245699163E-2</v>
      </c>
      <c r="I340" t="s">
        <v>45</v>
      </c>
      <c r="J340">
        <v>47</v>
      </c>
      <c r="K340">
        <f>Table1[[#This Row],[Satış Miktarı]]*Table1[[#This Row],[Satış Fiyatı]]</f>
        <v>106549</v>
      </c>
      <c r="L340" t="s">
        <v>19</v>
      </c>
      <c r="M340" t="s">
        <v>30</v>
      </c>
      <c r="N340" t="s">
        <v>43</v>
      </c>
      <c r="O340">
        <v>0.2</v>
      </c>
      <c r="P340" t="s">
        <v>22</v>
      </c>
      <c r="Q340" t="s">
        <v>84</v>
      </c>
    </row>
    <row r="341" spans="1:17">
      <c r="A341">
        <v>995997187</v>
      </c>
      <c r="B341" t="s">
        <v>33</v>
      </c>
      <c r="C341" t="s">
        <v>34</v>
      </c>
      <c r="D341" s="1">
        <v>47640</v>
      </c>
      <c r="E341">
        <v>1578</v>
      </c>
      <c r="F341">
        <v>10</v>
      </c>
      <c r="G341" s="2">
        <v>6.3E-3</v>
      </c>
      <c r="H341" s="2">
        <f>Table1[[#This Row],[İade Miktarı]]/Table1[[#This Row],[Satış Miktarı]]</f>
        <v>6.3371356147021544E-3</v>
      </c>
      <c r="I341" t="s">
        <v>18</v>
      </c>
      <c r="J341">
        <v>31</v>
      </c>
      <c r="K341">
        <f>Table1[[#This Row],[Satış Miktarı]]*Table1[[#This Row],[Satış Fiyatı]]</f>
        <v>48918</v>
      </c>
      <c r="L341" t="s">
        <v>19</v>
      </c>
      <c r="M341" t="s">
        <v>35</v>
      </c>
      <c r="N341" t="s">
        <v>21</v>
      </c>
      <c r="O341">
        <v>0.2</v>
      </c>
      <c r="P341" t="s">
        <v>27</v>
      </c>
      <c r="Q341" t="s">
        <v>28</v>
      </c>
    </row>
    <row r="342" spans="1:17">
      <c r="A342">
        <v>957456117</v>
      </c>
      <c r="B342" t="s">
        <v>37</v>
      </c>
      <c r="C342" t="s">
        <v>34</v>
      </c>
      <c r="D342" s="1">
        <v>48564</v>
      </c>
      <c r="E342">
        <v>4615</v>
      </c>
      <c r="F342">
        <v>48</v>
      </c>
      <c r="G342" s="2">
        <v>1.04E-2</v>
      </c>
      <c r="H342" s="2">
        <f>Table1[[#This Row],[İade Miktarı]]/Table1[[#This Row],[Satış Miktarı]]</f>
        <v>1.0400866738894909E-2</v>
      </c>
      <c r="I342" t="s">
        <v>18</v>
      </c>
      <c r="J342">
        <v>24</v>
      </c>
      <c r="K342">
        <f>Table1[[#This Row],[Satış Miktarı]]*Table1[[#This Row],[Satış Fiyatı]]</f>
        <v>110760</v>
      </c>
      <c r="L342" t="s">
        <v>19</v>
      </c>
      <c r="M342" t="s">
        <v>38</v>
      </c>
      <c r="N342" t="s">
        <v>76</v>
      </c>
      <c r="O342">
        <v>0.2</v>
      </c>
      <c r="P342" t="s">
        <v>22</v>
      </c>
      <c r="Q342" t="s">
        <v>40</v>
      </c>
    </row>
    <row r="343" spans="1:17">
      <c r="A343">
        <v>399677076</v>
      </c>
      <c r="B343" t="s">
        <v>41</v>
      </c>
      <c r="C343" t="s">
        <v>17</v>
      </c>
      <c r="D343" s="1">
        <v>47601</v>
      </c>
      <c r="E343">
        <v>1305</v>
      </c>
      <c r="F343">
        <v>38</v>
      </c>
      <c r="G343" s="2">
        <v>2.9100000000000001E-2</v>
      </c>
      <c r="H343" s="2">
        <f>Table1[[#This Row],[İade Miktarı]]/Table1[[#This Row],[Satış Miktarı]]</f>
        <v>2.9118773946360154E-2</v>
      </c>
      <c r="I343" t="s">
        <v>18</v>
      </c>
      <c r="J343">
        <v>42</v>
      </c>
      <c r="K343">
        <f>Table1[[#This Row],[Satış Miktarı]]*Table1[[#This Row],[Satış Fiyatı]]</f>
        <v>54810</v>
      </c>
      <c r="L343" t="s">
        <v>19</v>
      </c>
      <c r="M343" t="s">
        <v>42</v>
      </c>
      <c r="N343" t="s">
        <v>78</v>
      </c>
      <c r="O343">
        <v>0.2</v>
      </c>
      <c r="P343" t="s">
        <v>27</v>
      </c>
      <c r="Q343" t="s">
        <v>28</v>
      </c>
    </row>
    <row r="344" spans="1:17">
      <c r="A344">
        <v>532867589</v>
      </c>
      <c r="B344" t="s">
        <v>44</v>
      </c>
      <c r="C344" t="s">
        <v>17</v>
      </c>
      <c r="D344" s="1">
        <v>48198</v>
      </c>
      <c r="E344">
        <v>2633</v>
      </c>
      <c r="F344">
        <v>44</v>
      </c>
      <c r="G344" s="2">
        <v>1.67E-2</v>
      </c>
      <c r="H344" s="2">
        <f>Table1[[#This Row],[İade Miktarı]]/Table1[[#This Row],[Satış Miktarı]]</f>
        <v>1.6710976072920623E-2</v>
      </c>
      <c r="I344" t="s">
        <v>18</v>
      </c>
      <c r="J344">
        <v>25</v>
      </c>
      <c r="K344">
        <f>Table1[[#This Row],[Satış Miktarı]]*Table1[[#This Row],[Satış Fiyatı]]</f>
        <v>65825</v>
      </c>
      <c r="L344" t="s">
        <v>19</v>
      </c>
      <c r="M344" t="s">
        <v>46</v>
      </c>
      <c r="N344" t="s">
        <v>21</v>
      </c>
      <c r="O344">
        <v>0.2</v>
      </c>
      <c r="P344" t="s">
        <v>27</v>
      </c>
      <c r="Q344" t="s">
        <v>84</v>
      </c>
    </row>
    <row r="345" spans="1:17">
      <c r="A345">
        <v>75797482</v>
      </c>
      <c r="B345" t="s">
        <v>49</v>
      </c>
      <c r="C345" t="s">
        <v>34</v>
      </c>
      <c r="D345" s="1">
        <v>48339</v>
      </c>
      <c r="E345">
        <v>1140</v>
      </c>
      <c r="F345">
        <v>10</v>
      </c>
      <c r="G345" s="2">
        <v>8.8000000000000005E-3</v>
      </c>
      <c r="H345" s="2">
        <f>Table1[[#This Row],[İade Miktarı]]/Table1[[#This Row],[Satış Miktarı]]</f>
        <v>8.771929824561403E-3</v>
      </c>
      <c r="I345" t="s">
        <v>18</v>
      </c>
      <c r="J345">
        <v>26</v>
      </c>
      <c r="K345">
        <f>Table1[[#This Row],[Satış Miktarı]]*Table1[[#This Row],[Satış Fiyatı]]</f>
        <v>29640</v>
      </c>
      <c r="L345" t="s">
        <v>19</v>
      </c>
      <c r="M345" t="s">
        <v>46</v>
      </c>
      <c r="N345" t="s">
        <v>21</v>
      </c>
      <c r="O345">
        <v>0.2</v>
      </c>
      <c r="P345" t="s">
        <v>22</v>
      </c>
      <c r="Q345" t="s">
        <v>75</v>
      </c>
    </row>
    <row r="346" spans="1:17">
      <c r="A346">
        <v>35303416</v>
      </c>
      <c r="B346" t="s">
        <v>51</v>
      </c>
      <c r="C346" t="s">
        <v>17</v>
      </c>
      <c r="D346" s="1">
        <v>47611</v>
      </c>
      <c r="E346">
        <v>2293</v>
      </c>
      <c r="F346">
        <v>23</v>
      </c>
      <c r="G346" s="2">
        <v>0.01</v>
      </c>
      <c r="H346" s="2">
        <f>Table1[[#This Row],[İade Miktarı]]/Table1[[#This Row],[Satış Miktarı]]</f>
        <v>1.003052769297863E-2</v>
      </c>
      <c r="I346" t="s">
        <v>18</v>
      </c>
      <c r="J346">
        <v>26</v>
      </c>
      <c r="K346">
        <f>Table1[[#This Row],[Satış Miktarı]]*Table1[[#This Row],[Satış Fiyatı]]</f>
        <v>59618</v>
      </c>
      <c r="L346" t="s">
        <v>19</v>
      </c>
      <c r="M346" t="s">
        <v>52</v>
      </c>
      <c r="N346" t="s">
        <v>39</v>
      </c>
      <c r="O346">
        <v>0.2</v>
      </c>
      <c r="P346" t="s">
        <v>27</v>
      </c>
      <c r="Q346" t="s">
        <v>48</v>
      </c>
    </row>
    <row r="347" spans="1:17">
      <c r="A347">
        <v>672260151</v>
      </c>
      <c r="B347" t="s">
        <v>54</v>
      </c>
      <c r="C347" t="s">
        <v>34</v>
      </c>
      <c r="D347" s="1">
        <v>48130</v>
      </c>
      <c r="E347">
        <v>2834</v>
      </c>
      <c r="F347">
        <v>16</v>
      </c>
      <c r="G347" s="2">
        <v>5.5999999999999999E-3</v>
      </c>
      <c r="H347" s="2">
        <f>Table1[[#This Row],[İade Miktarı]]/Table1[[#This Row],[Satış Miktarı]]</f>
        <v>5.6457304163726185E-3</v>
      </c>
      <c r="I347" t="s">
        <v>18</v>
      </c>
      <c r="J347">
        <v>24</v>
      </c>
      <c r="K347">
        <f>Table1[[#This Row],[Satış Miktarı]]*Table1[[#This Row],[Satış Fiyatı]]</f>
        <v>68016</v>
      </c>
      <c r="L347" t="s">
        <v>19</v>
      </c>
      <c r="M347" t="s">
        <v>55</v>
      </c>
      <c r="N347" t="s">
        <v>43</v>
      </c>
      <c r="O347">
        <v>0.2</v>
      </c>
      <c r="P347" t="s">
        <v>22</v>
      </c>
      <c r="Q347" t="s">
        <v>84</v>
      </c>
    </row>
    <row r="348" spans="1:17">
      <c r="A348">
        <v>890305859</v>
      </c>
      <c r="B348" t="s">
        <v>57</v>
      </c>
      <c r="C348" t="s">
        <v>34</v>
      </c>
      <c r="D348" s="1">
        <v>48356</v>
      </c>
      <c r="E348">
        <v>3603</v>
      </c>
      <c r="F348">
        <v>49</v>
      </c>
      <c r="G348" s="2">
        <v>1.3599999999999999E-2</v>
      </c>
      <c r="H348" s="2">
        <f>Table1[[#This Row],[İade Miktarı]]/Table1[[#This Row],[Satış Miktarı]]</f>
        <v>1.3599777962808771E-2</v>
      </c>
      <c r="I348" t="s">
        <v>45</v>
      </c>
      <c r="J348">
        <v>42</v>
      </c>
      <c r="K348">
        <f>Table1[[#This Row],[Satış Miktarı]]*Table1[[#This Row],[Satış Fiyatı]]</f>
        <v>151326</v>
      </c>
      <c r="L348" t="s">
        <v>19</v>
      </c>
      <c r="M348" t="s">
        <v>58</v>
      </c>
      <c r="N348" t="s">
        <v>26</v>
      </c>
      <c r="O348">
        <v>0.2</v>
      </c>
      <c r="P348" t="s">
        <v>22</v>
      </c>
      <c r="Q348" t="s">
        <v>69</v>
      </c>
    </row>
    <row r="349" spans="1:17">
      <c r="A349">
        <v>138376828</v>
      </c>
      <c r="B349" t="s">
        <v>59</v>
      </c>
      <c r="C349" t="s">
        <v>17</v>
      </c>
      <c r="D349" s="1">
        <v>47580</v>
      </c>
      <c r="E349">
        <v>3241</v>
      </c>
      <c r="F349">
        <v>38</v>
      </c>
      <c r="G349" s="2">
        <v>1.17E-2</v>
      </c>
      <c r="H349" s="2">
        <f>Table1[[#This Row],[İade Miktarı]]/Table1[[#This Row],[Satış Miktarı]]</f>
        <v>1.1724776303609998E-2</v>
      </c>
      <c r="I349" t="s">
        <v>45</v>
      </c>
      <c r="J349">
        <v>22</v>
      </c>
      <c r="K349">
        <f>Table1[[#This Row],[Satış Miktarı]]*Table1[[#This Row],[Satış Fiyatı]]</f>
        <v>71302</v>
      </c>
      <c r="L349" t="s">
        <v>19</v>
      </c>
      <c r="M349" t="s">
        <v>60</v>
      </c>
      <c r="N349" t="s">
        <v>61</v>
      </c>
      <c r="O349">
        <v>0.2</v>
      </c>
      <c r="P349" t="s">
        <v>22</v>
      </c>
      <c r="Q349" t="s">
        <v>40</v>
      </c>
    </row>
    <row r="350" spans="1:17">
      <c r="A350">
        <v>12380638</v>
      </c>
      <c r="B350" t="s">
        <v>63</v>
      </c>
      <c r="C350" t="s">
        <v>17</v>
      </c>
      <c r="D350" s="1">
        <v>48457</v>
      </c>
      <c r="E350">
        <v>3002</v>
      </c>
      <c r="F350">
        <v>38</v>
      </c>
      <c r="G350" s="2">
        <v>1.2699999999999999E-2</v>
      </c>
      <c r="H350" s="2">
        <f>Table1[[#This Row],[İade Miktarı]]/Table1[[#This Row],[Satış Miktarı]]</f>
        <v>1.2658227848101266E-2</v>
      </c>
      <c r="I350" t="s">
        <v>18</v>
      </c>
      <c r="J350">
        <v>37</v>
      </c>
      <c r="K350">
        <f>Table1[[#This Row],[Satış Miktarı]]*Table1[[#This Row],[Satış Fiyatı]]</f>
        <v>111074</v>
      </c>
      <c r="L350" t="s">
        <v>19</v>
      </c>
      <c r="M350" t="s">
        <v>64</v>
      </c>
      <c r="N350" t="s">
        <v>26</v>
      </c>
      <c r="O350">
        <v>0.2</v>
      </c>
      <c r="P350" t="s">
        <v>22</v>
      </c>
      <c r="Q350" t="s">
        <v>32</v>
      </c>
    </row>
    <row r="351" spans="1:17">
      <c r="A351">
        <v>682271092</v>
      </c>
      <c r="B351" t="s">
        <v>29</v>
      </c>
      <c r="C351" t="s">
        <v>17</v>
      </c>
      <c r="D351" s="1">
        <v>47881</v>
      </c>
      <c r="E351">
        <v>3132</v>
      </c>
      <c r="F351">
        <v>48</v>
      </c>
      <c r="G351" s="2">
        <v>1.5299999999999999E-2</v>
      </c>
      <c r="H351" s="2">
        <f>Table1[[#This Row],[İade Miktarı]]/Table1[[#This Row],[Satış Miktarı]]</f>
        <v>1.532567049808429E-2</v>
      </c>
      <c r="I351" t="s">
        <v>18</v>
      </c>
      <c r="J351">
        <v>46</v>
      </c>
      <c r="K351">
        <f>Table1[[#This Row],[Satış Miktarı]]*Table1[[#This Row],[Satış Fiyatı]]</f>
        <v>144072</v>
      </c>
      <c r="L351" t="s">
        <v>19</v>
      </c>
      <c r="M351" t="s">
        <v>68</v>
      </c>
      <c r="N351" t="s">
        <v>65</v>
      </c>
      <c r="O351">
        <v>0.2</v>
      </c>
      <c r="P351" t="s">
        <v>22</v>
      </c>
      <c r="Q351" t="s">
        <v>28</v>
      </c>
    </row>
    <row r="352" spans="1:17">
      <c r="A352">
        <v>715890337</v>
      </c>
      <c r="B352" t="s">
        <v>33</v>
      </c>
      <c r="C352" t="s">
        <v>34</v>
      </c>
      <c r="D352" s="1">
        <v>48214</v>
      </c>
      <c r="E352">
        <v>1728</v>
      </c>
      <c r="F352">
        <v>36</v>
      </c>
      <c r="G352" s="2">
        <v>2.0799999999999999E-2</v>
      </c>
      <c r="H352" s="2">
        <f>Table1[[#This Row],[İade Miktarı]]/Table1[[#This Row],[Satış Miktarı]]</f>
        <v>2.0833333333333332E-2</v>
      </c>
      <c r="I352" t="s">
        <v>18</v>
      </c>
      <c r="J352">
        <v>44</v>
      </c>
      <c r="K352">
        <f>Table1[[#This Row],[Satış Miktarı]]*Table1[[#This Row],[Satış Fiyatı]]</f>
        <v>76032</v>
      </c>
      <c r="L352" t="s">
        <v>19</v>
      </c>
      <c r="M352" t="s">
        <v>71</v>
      </c>
      <c r="N352" t="s">
        <v>76</v>
      </c>
      <c r="O352">
        <v>0.2</v>
      </c>
      <c r="P352" t="s">
        <v>22</v>
      </c>
      <c r="Q352" t="s">
        <v>56</v>
      </c>
    </row>
    <row r="353" spans="1:17">
      <c r="A353">
        <v>29433812</v>
      </c>
      <c r="B353" t="s">
        <v>37</v>
      </c>
      <c r="C353" t="s">
        <v>34</v>
      </c>
      <c r="D353" s="1">
        <v>48250</v>
      </c>
      <c r="E353">
        <v>4254</v>
      </c>
      <c r="F353">
        <v>40</v>
      </c>
      <c r="G353" s="2">
        <v>9.4000000000000004E-3</v>
      </c>
      <c r="H353" s="2">
        <f>Table1[[#This Row],[İade Miktarı]]/Table1[[#This Row],[Satış Miktarı]]</f>
        <v>9.4029149036201215E-3</v>
      </c>
      <c r="I353" t="s">
        <v>18</v>
      </c>
      <c r="J353">
        <v>43</v>
      </c>
      <c r="K353">
        <f>Table1[[#This Row],[Satış Miktarı]]*Table1[[#This Row],[Satış Fiyatı]]</f>
        <v>182922</v>
      </c>
      <c r="L353" t="s">
        <v>19</v>
      </c>
      <c r="M353" t="s">
        <v>74</v>
      </c>
      <c r="N353" t="s">
        <v>78</v>
      </c>
      <c r="O353">
        <v>0.2</v>
      </c>
      <c r="P353" t="s">
        <v>27</v>
      </c>
      <c r="Q353" t="s">
        <v>40</v>
      </c>
    </row>
    <row r="354" spans="1:17">
      <c r="A354">
        <v>148598513</v>
      </c>
      <c r="B354" t="s">
        <v>41</v>
      </c>
      <c r="C354" t="s">
        <v>17</v>
      </c>
      <c r="D354" s="1">
        <v>47829</v>
      </c>
      <c r="E354">
        <v>3604</v>
      </c>
      <c r="F354">
        <v>42</v>
      </c>
      <c r="G354" s="2">
        <v>1.17E-2</v>
      </c>
      <c r="H354" s="2">
        <f>Table1[[#This Row],[İade Miktarı]]/Table1[[#This Row],[Satış Miktarı]]</f>
        <v>1.1653718091009988E-2</v>
      </c>
      <c r="I354" t="s">
        <v>18</v>
      </c>
      <c r="J354">
        <v>41</v>
      </c>
      <c r="K354">
        <f>Table1[[#This Row],[Satış Miktarı]]*Table1[[#This Row],[Satış Fiyatı]]</f>
        <v>147764</v>
      </c>
      <c r="L354" t="s">
        <v>19</v>
      </c>
      <c r="M354" t="s">
        <v>20</v>
      </c>
      <c r="N354" t="s">
        <v>21</v>
      </c>
      <c r="O354">
        <v>0.2</v>
      </c>
      <c r="P354" t="s">
        <v>22</v>
      </c>
      <c r="Q354" t="s">
        <v>66</v>
      </c>
    </row>
    <row r="355" spans="1:17">
      <c r="A355">
        <v>484871661</v>
      </c>
      <c r="B355" t="s">
        <v>44</v>
      </c>
      <c r="C355" t="s">
        <v>17</v>
      </c>
      <c r="D355" s="1">
        <v>48442</v>
      </c>
      <c r="E355">
        <v>2014</v>
      </c>
      <c r="F355">
        <v>26</v>
      </c>
      <c r="G355" s="2">
        <v>1.29E-2</v>
      </c>
      <c r="H355" s="2">
        <f>Table1[[#This Row],[İade Miktarı]]/Table1[[#This Row],[Satış Miktarı]]</f>
        <v>1.2909632571996028E-2</v>
      </c>
      <c r="I355" t="s">
        <v>18</v>
      </c>
      <c r="J355">
        <v>49</v>
      </c>
      <c r="K355">
        <f>Table1[[#This Row],[Satış Miktarı]]*Table1[[#This Row],[Satış Fiyatı]]</f>
        <v>98686</v>
      </c>
      <c r="L355" t="s">
        <v>19</v>
      </c>
      <c r="M355" t="s">
        <v>25</v>
      </c>
      <c r="N355" t="s">
        <v>43</v>
      </c>
      <c r="O355">
        <v>0.2</v>
      </c>
      <c r="P355" t="s">
        <v>22</v>
      </c>
      <c r="Q355" t="s">
        <v>79</v>
      </c>
    </row>
    <row r="356" spans="1:17">
      <c r="A356">
        <v>541492597</v>
      </c>
      <c r="B356" t="s">
        <v>49</v>
      </c>
      <c r="C356" t="s">
        <v>34</v>
      </c>
      <c r="D356" s="1">
        <v>47922</v>
      </c>
      <c r="E356">
        <v>4483</v>
      </c>
      <c r="F356">
        <v>27</v>
      </c>
      <c r="G356" s="2">
        <v>6.0000000000000001E-3</v>
      </c>
      <c r="H356" s="2">
        <f>Table1[[#This Row],[İade Miktarı]]/Table1[[#This Row],[Satış Miktarı]]</f>
        <v>6.0227526210127145E-3</v>
      </c>
      <c r="I356" t="s">
        <v>18</v>
      </c>
      <c r="J356">
        <v>24</v>
      </c>
      <c r="K356">
        <f>Table1[[#This Row],[Satış Miktarı]]*Table1[[#This Row],[Satış Fiyatı]]</f>
        <v>107592</v>
      </c>
      <c r="L356" t="s">
        <v>19</v>
      </c>
      <c r="M356" t="s">
        <v>30</v>
      </c>
      <c r="N356" t="s">
        <v>47</v>
      </c>
      <c r="O356">
        <v>0.2</v>
      </c>
      <c r="P356" t="s">
        <v>22</v>
      </c>
      <c r="Q356" t="s">
        <v>23</v>
      </c>
    </row>
    <row r="357" spans="1:17">
      <c r="A357">
        <v>724601240</v>
      </c>
      <c r="B357" t="s">
        <v>51</v>
      </c>
      <c r="C357" t="s">
        <v>17</v>
      </c>
      <c r="D357" s="1">
        <v>48198</v>
      </c>
      <c r="E357">
        <v>2045</v>
      </c>
      <c r="F357">
        <v>43</v>
      </c>
      <c r="G357" s="2">
        <v>2.1000000000000001E-2</v>
      </c>
      <c r="H357" s="2">
        <f>Table1[[#This Row],[İade Miktarı]]/Table1[[#This Row],[Satış Miktarı]]</f>
        <v>2.1026894865525673E-2</v>
      </c>
      <c r="I357" t="s">
        <v>18</v>
      </c>
      <c r="J357">
        <v>29</v>
      </c>
      <c r="K357">
        <f>Table1[[#This Row],[Satış Miktarı]]*Table1[[#This Row],[Satış Fiyatı]]</f>
        <v>59305</v>
      </c>
      <c r="L357" t="s">
        <v>19</v>
      </c>
      <c r="M357" t="s">
        <v>35</v>
      </c>
      <c r="N357" t="s">
        <v>43</v>
      </c>
      <c r="O357">
        <v>0.2</v>
      </c>
      <c r="P357" t="s">
        <v>27</v>
      </c>
      <c r="Q357" t="s">
        <v>28</v>
      </c>
    </row>
    <row r="358" spans="1:17">
      <c r="A358">
        <v>611288097</v>
      </c>
      <c r="B358" t="s">
        <v>54</v>
      </c>
      <c r="C358" t="s">
        <v>34</v>
      </c>
      <c r="D358" s="1">
        <v>48289</v>
      </c>
      <c r="E358">
        <v>1105</v>
      </c>
      <c r="F358">
        <v>24</v>
      </c>
      <c r="G358" s="2">
        <v>2.1700000000000001E-2</v>
      </c>
      <c r="H358" s="2">
        <f>Table1[[#This Row],[İade Miktarı]]/Table1[[#This Row],[Satış Miktarı]]</f>
        <v>2.171945701357466E-2</v>
      </c>
      <c r="I358" t="s">
        <v>18</v>
      </c>
      <c r="J358">
        <v>35</v>
      </c>
      <c r="K358">
        <f>Table1[[#This Row],[Satış Miktarı]]*Table1[[#This Row],[Satış Fiyatı]]</f>
        <v>38675</v>
      </c>
      <c r="L358" t="s">
        <v>19</v>
      </c>
      <c r="M358" t="s">
        <v>38</v>
      </c>
      <c r="N358" t="s">
        <v>26</v>
      </c>
      <c r="O358">
        <v>0.2</v>
      </c>
      <c r="P358" t="s">
        <v>27</v>
      </c>
      <c r="Q358" t="s">
        <v>69</v>
      </c>
    </row>
    <row r="359" spans="1:17">
      <c r="A359">
        <v>933384298</v>
      </c>
      <c r="B359" t="s">
        <v>57</v>
      </c>
      <c r="C359" t="s">
        <v>34</v>
      </c>
      <c r="D359" s="1">
        <v>48100</v>
      </c>
      <c r="E359">
        <v>3941</v>
      </c>
      <c r="F359">
        <v>25</v>
      </c>
      <c r="G359" s="2">
        <v>6.3E-3</v>
      </c>
      <c r="H359" s="2">
        <f>Table1[[#This Row],[İade Miktarı]]/Table1[[#This Row],[Satış Miktarı]]</f>
        <v>6.3435676224308547E-3</v>
      </c>
      <c r="I359" t="s">
        <v>18</v>
      </c>
      <c r="J359">
        <v>50</v>
      </c>
      <c r="K359">
        <f>Table1[[#This Row],[Satış Miktarı]]*Table1[[#This Row],[Satış Fiyatı]]</f>
        <v>197050</v>
      </c>
      <c r="L359" t="s">
        <v>19</v>
      </c>
      <c r="M359" t="s">
        <v>42</v>
      </c>
      <c r="N359" t="s">
        <v>31</v>
      </c>
      <c r="O359">
        <v>0.2</v>
      </c>
      <c r="P359" t="s">
        <v>22</v>
      </c>
      <c r="Q359" t="s">
        <v>23</v>
      </c>
    </row>
    <row r="360" spans="1:17">
      <c r="A360">
        <v>153521260</v>
      </c>
      <c r="B360" t="s">
        <v>59</v>
      </c>
      <c r="C360" t="s">
        <v>17</v>
      </c>
      <c r="D360" s="1">
        <v>48125</v>
      </c>
      <c r="E360">
        <v>2179</v>
      </c>
      <c r="F360">
        <v>49</v>
      </c>
      <c r="G360" s="2">
        <v>2.2499999999999999E-2</v>
      </c>
      <c r="H360" s="2">
        <f>Table1[[#This Row],[İade Miktarı]]/Table1[[#This Row],[Satış Miktarı]]</f>
        <v>2.2487379531895366E-2</v>
      </c>
      <c r="I360" t="s">
        <v>18</v>
      </c>
      <c r="J360">
        <v>42</v>
      </c>
      <c r="K360">
        <f>Table1[[#This Row],[Satış Miktarı]]*Table1[[#This Row],[Satış Fiyatı]]</f>
        <v>91518</v>
      </c>
      <c r="L360" t="s">
        <v>19</v>
      </c>
      <c r="M360" t="s">
        <v>46</v>
      </c>
      <c r="N360" t="s">
        <v>21</v>
      </c>
      <c r="O360">
        <v>0.2</v>
      </c>
      <c r="P360" t="s">
        <v>27</v>
      </c>
      <c r="Q360" t="s">
        <v>69</v>
      </c>
    </row>
    <row r="361" spans="1:17">
      <c r="A361">
        <v>877090044</v>
      </c>
      <c r="B361" t="s">
        <v>63</v>
      </c>
      <c r="C361" t="s">
        <v>17</v>
      </c>
      <c r="D361" s="1">
        <v>47936</v>
      </c>
      <c r="E361">
        <v>2137</v>
      </c>
      <c r="F361">
        <v>49</v>
      </c>
      <c r="G361" s="2">
        <v>2.29E-2</v>
      </c>
      <c r="H361" s="2">
        <f>Table1[[#This Row],[İade Miktarı]]/Table1[[#This Row],[Satış Miktarı]]</f>
        <v>2.2929340196537203E-2</v>
      </c>
      <c r="I361" t="s">
        <v>18</v>
      </c>
      <c r="J361">
        <v>40</v>
      </c>
      <c r="K361">
        <f>Table1[[#This Row],[Satış Miktarı]]*Table1[[#This Row],[Satış Fiyatı]]</f>
        <v>85480</v>
      </c>
      <c r="L361" t="s">
        <v>19</v>
      </c>
      <c r="M361" t="s">
        <v>46</v>
      </c>
      <c r="N361" t="s">
        <v>47</v>
      </c>
      <c r="O361">
        <v>0.2</v>
      </c>
      <c r="P361" t="s">
        <v>27</v>
      </c>
      <c r="Q361" t="s">
        <v>79</v>
      </c>
    </row>
    <row r="362" spans="1:17">
      <c r="A362">
        <v>608790063</v>
      </c>
      <c r="B362" t="s">
        <v>67</v>
      </c>
      <c r="C362" t="s">
        <v>17</v>
      </c>
      <c r="D362" s="1">
        <v>47905</v>
      </c>
      <c r="E362">
        <v>2514</v>
      </c>
      <c r="F362">
        <v>41</v>
      </c>
      <c r="G362" s="2">
        <v>1.6299999999999999E-2</v>
      </c>
      <c r="H362" s="2">
        <f>Table1[[#This Row],[İade Miktarı]]/Table1[[#This Row],[Satış Miktarı]]</f>
        <v>1.6308671439936355E-2</v>
      </c>
      <c r="I362" t="s">
        <v>18</v>
      </c>
      <c r="J362">
        <v>39</v>
      </c>
      <c r="K362">
        <f>Table1[[#This Row],[Satış Miktarı]]*Table1[[#This Row],[Satış Fiyatı]]</f>
        <v>98046</v>
      </c>
      <c r="L362" t="s">
        <v>19</v>
      </c>
      <c r="M362" t="s">
        <v>52</v>
      </c>
      <c r="N362" t="s">
        <v>61</v>
      </c>
      <c r="O362">
        <v>0.2</v>
      </c>
      <c r="P362" t="s">
        <v>22</v>
      </c>
      <c r="Q362" t="s">
        <v>32</v>
      </c>
    </row>
    <row r="363" spans="1:17">
      <c r="A363">
        <v>85231847</v>
      </c>
      <c r="B363" t="s">
        <v>70</v>
      </c>
      <c r="C363" t="s">
        <v>17</v>
      </c>
      <c r="D363" s="1">
        <v>47988</v>
      </c>
      <c r="E363">
        <v>4971</v>
      </c>
      <c r="F363">
        <v>32</v>
      </c>
      <c r="G363" s="2">
        <v>6.4000000000000003E-3</v>
      </c>
      <c r="H363" s="2">
        <f>Table1[[#This Row],[İade Miktarı]]/Table1[[#This Row],[Satış Miktarı]]</f>
        <v>6.4373365520016095E-3</v>
      </c>
      <c r="I363" t="s">
        <v>18</v>
      </c>
      <c r="J363">
        <v>37</v>
      </c>
      <c r="K363">
        <f>Table1[[#This Row],[Satış Miktarı]]*Table1[[#This Row],[Satış Fiyatı]]</f>
        <v>183927</v>
      </c>
      <c r="L363" t="s">
        <v>19</v>
      </c>
      <c r="M363" t="s">
        <v>55</v>
      </c>
      <c r="N363" t="s">
        <v>65</v>
      </c>
      <c r="O363">
        <v>0.2</v>
      </c>
      <c r="P363" t="s">
        <v>27</v>
      </c>
      <c r="Q363" t="s">
        <v>28</v>
      </c>
    </row>
    <row r="364" spans="1:17">
      <c r="A364">
        <v>754639731</v>
      </c>
      <c r="B364" t="s">
        <v>73</v>
      </c>
      <c r="C364" t="s">
        <v>17</v>
      </c>
      <c r="D364" s="1">
        <v>48185</v>
      </c>
      <c r="E364">
        <v>3172</v>
      </c>
      <c r="F364">
        <v>12</v>
      </c>
      <c r="G364" s="2">
        <v>3.8E-3</v>
      </c>
      <c r="H364" s="2">
        <f>Table1[[#This Row],[İade Miktarı]]/Table1[[#This Row],[Satış Miktarı]]</f>
        <v>3.7831021437578815E-3</v>
      </c>
      <c r="I364" t="s">
        <v>18</v>
      </c>
      <c r="J364">
        <v>27</v>
      </c>
      <c r="K364">
        <f>Table1[[#This Row],[Satış Miktarı]]*Table1[[#This Row],[Satış Fiyatı]]</f>
        <v>85644</v>
      </c>
      <c r="L364" t="s">
        <v>19</v>
      </c>
      <c r="M364" t="s">
        <v>58</v>
      </c>
      <c r="N364" t="s">
        <v>39</v>
      </c>
      <c r="O364">
        <v>0.2</v>
      </c>
      <c r="P364" t="s">
        <v>27</v>
      </c>
      <c r="Q364" t="s">
        <v>75</v>
      </c>
    </row>
    <row r="365" spans="1:17">
      <c r="A365">
        <v>778887914</v>
      </c>
      <c r="B365" t="s">
        <v>16</v>
      </c>
      <c r="C365" t="s">
        <v>17</v>
      </c>
      <c r="D365" s="1">
        <v>47805</v>
      </c>
      <c r="E365">
        <v>1456</v>
      </c>
      <c r="F365">
        <v>32</v>
      </c>
      <c r="G365" s="2">
        <v>2.1999999999999999E-2</v>
      </c>
      <c r="H365" s="2">
        <f>Table1[[#This Row],[İade Miktarı]]/Table1[[#This Row],[Satış Miktarı]]</f>
        <v>2.197802197802198E-2</v>
      </c>
      <c r="I365" t="s">
        <v>18</v>
      </c>
      <c r="J365">
        <v>23</v>
      </c>
      <c r="K365">
        <f>Table1[[#This Row],[Satış Miktarı]]*Table1[[#This Row],[Satış Fiyatı]]</f>
        <v>33488</v>
      </c>
      <c r="L365" t="s">
        <v>19</v>
      </c>
      <c r="M365" t="s">
        <v>60</v>
      </c>
      <c r="N365" t="s">
        <v>47</v>
      </c>
      <c r="O365">
        <v>0.2</v>
      </c>
      <c r="P365" t="s">
        <v>27</v>
      </c>
      <c r="Q365" t="s">
        <v>75</v>
      </c>
    </row>
    <row r="366" spans="1:17">
      <c r="A366">
        <v>903434078</v>
      </c>
      <c r="B366" t="s">
        <v>24</v>
      </c>
      <c r="C366" t="s">
        <v>17</v>
      </c>
      <c r="D366" s="1">
        <v>48412</v>
      </c>
      <c r="E366">
        <v>2260</v>
      </c>
      <c r="F366">
        <v>28</v>
      </c>
      <c r="G366" s="2">
        <v>1.24E-2</v>
      </c>
      <c r="H366" s="2">
        <f>Table1[[#This Row],[İade Miktarı]]/Table1[[#This Row],[Satış Miktarı]]</f>
        <v>1.2389380530973451E-2</v>
      </c>
      <c r="I366" t="s">
        <v>18</v>
      </c>
      <c r="J366">
        <v>35</v>
      </c>
      <c r="K366">
        <f>Table1[[#This Row],[Satış Miktarı]]*Table1[[#This Row],[Satış Fiyatı]]</f>
        <v>79100</v>
      </c>
      <c r="L366" t="s">
        <v>19</v>
      </c>
      <c r="M366" t="s">
        <v>64</v>
      </c>
      <c r="N366" t="s">
        <v>39</v>
      </c>
      <c r="O366">
        <v>0.2</v>
      </c>
      <c r="P366" t="s">
        <v>27</v>
      </c>
      <c r="Q366" t="s">
        <v>82</v>
      </c>
    </row>
    <row r="367" spans="1:17">
      <c r="A367">
        <v>358337177</v>
      </c>
      <c r="B367" t="s">
        <v>29</v>
      </c>
      <c r="C367" t="s">
        <v>17</v>
      </c>
      <c r="D367" s="1">
        <v>48367</v>
      </c>
      <c r="E367">
        <v>4533</v>
      </c>
      <c r="F367">
        <v>26</v>
      </c>
      <c r="G367" s="2">
        <v>5.7000000000000002E-3</v>
      </c>
      <c r="H367" s="2">
        <f>Table1[[#This Row],[İade Miktarı]]/Table1[[#This Row],[Satış Miktarı]]</f>
        <v>5.7357158614604019E-3</v>
      </c>
      <c r="I367" t="s">
        <v>18</v>
      </c>
      <c r="J367">
        <v>48</v>
      </c>
      <c r="K367">
        <f>Table1[[#This Row],[Satış Miktarı]]*Table1[[#This Row],[Satış Fiyatı]]</f>
        <v>217584</v>
      </c>
      <c r="L367" t="s">
        <v>19</v>
      </c>
      <c r="M367" t="s">
        <v>68</v>
      </c>
      <c r="N367" t="s">
        <v>65</v>
      </c>
      <c r="O367">
        <v>0.2</v>
      </c>
      <c r="P367" t="s">
        <v>22</v>
      </c>
      <c r="Q367" t="s">
        <v>83</v>
      </c>
    </row>
    <row r="368" spans="1:17">
      <c r="A368">
        <v>805235619</v>
      </c>
      <c r="B368" t="s">
        <v>33</v>
      </c>
      <c r="C368" t="s">
        <v>34</v>
      </c>
      <c r="D368" s="1">
        <v>47763</v>
      </c>
      <c r="E368">
        <v>4144</v>
      </c>
      <c r="F368">
        <v>11</v>
      </c>
      <c r="G368" s="2">
        <v>2.7000000000000001E-3</v>
      </c>
      <c r="H368" s="2">
        <f>Table1[[#This Row],[İade Miktarı]]/Table1[[#This Row],[Satış Miktarı]]</f>
        <v>2.6544401544401543E-3</v>
      </c>
      <c r="I368" t="s">
        <v>18</v>
      </c>
      <c r="J368">
        <v>37</v>
      </c>
      <c r="K368">
        <f>Table1[[#This Row],[Satış Miktarı]]*Table1[[#This Row],[Satış Fiyatı]]</f>
        <v>153328</v>
      </c>
      <c r="L368" t="s">
        <v>19</v>
      </c>
      <c r="M368" t="s">
        <v>71</v>
      </c>
      <c r="N368" t="s">
        <v>21</v>
      </c>
      <c r="O368">
        <v>0.2</v>
      </c>
      <c r="P368" t="s">
        <v>22</v>
      </c>
      <c r="Q368" t="s">
        <v>28</v>
      </c>
    </row>
    <row r="369" spans="1:17">
      <c r="A369">
        <v>744556997</v>
      </c>
      <c r="B369" t="s">
        <v>37</v>
      </c>
      <c r="C369" t="s">
        <v>34</v>
      </c>
      <c r="D369" s="1">
        <v>48015</v>
      </c>
      <c r="E369">
        <v>1692</v>
      </c>
      <c r="F369">
        <v>19</v>
      </c>
      <c r="G369" s="2">
        <v>1.12E-2</v>
      </c>
      <c r="H369" s="2">
        <f>Table1[[#This Row],[İade Miktarı]]/Table1[[#This Row],[Satış Miktarı]]</f>
        <v>1.1229314420803783E-2</v>
      </c>
      <c r="I369" t="s">
        <v>18</v>
      </c>
      <c r="J369">
        <v>26</v>
      </c>
      <c r="K369">
        <f>Table1[[#This Row],[Satış Miktarı]]*Table1[[#This Row],[Satış Fiyatı]]</f>
        <v>43992</v>
      </c>
      <c r="L369" t="s">
        <v>19</v>
      </c>
      <c r="M369" t="s">
        <v>74</v>
      </c>
      <c r="N369" t="s">
        <v>31</v>
      </c>
      <c r="O369">
        <v>0.2</v>
      </c>
      <c r="P369" t="s">
        <v>22</v>
      </c>
      <c r="Q369" t="s">
        <v>75</v>
      </c>
    </row>
    <row r="370" spans="1:17">
      <c r="A370">
        <v>487196834</v>
      </c>
      <c r="B370" t="s">
        <v>41</v>
      </c>
      <c r="C370" t="s">
        <v>17</v>
      </c>
      <c r="D370" s="1">
        <v>47745</v>
      </c>
      <c r="E370">
        <v>3320</v>
      </c>
      <c r="F370">
        <v>13</v>
      </c>
      <c r="G370" s="2">
        <v>3.8999999999999998E-3</v>
      </c>
      <c r="H370" s="2">
        <f>Table1[[#This Row],[İade Miktarı]]/Table1[[#This Row],[Satış Miktarı]]</f>
        <v>3.9156626506024099E-3</v>
      </c>
      <c r="I370" t="s">
        <v>18</v>
      </c>
      <c r="J370">
        <v>36</v>
      </c>
      <c r="K370">
        <f>Table1[[#This Row],[Satış Miktarı]]*Table1[[#This Row],[Satış Fiyatı]]</f>
        <v>119520</v>
      </c>
      <c r="L370" t="s">
        <v>19</v>
      </c>
      <c r="M370" t="s">
        <v>20</v>
      </c>
      <c r="N370" t="s">
        <v>21</v>
      </c>
      <c r="O370">
        <v>0.2</v>
      </c>
      <c r="P370" t="s">
        <v>22</v>
      </c>
      <c r="Q370" t="s">
        <v>56</v>
      </c>
    </row>
    <row r="371" spans="1:17">
      <c r="A371">
        <v>856397065</v>
      </c>
      <c r="B371" t="s">
        <v>44</v>
      </c>
      <c r="C371" t="s">
        <v>17</v>
      </c>
      <c r="D371" s="1">
        <v>47815</v>
      </c>
      <c r="E371">
        <v>3317</v>
      </c>
      <c r="F371">
        <v>31</v>
      </c>
      <c r="G371" s="2">
        <v>9.2999999999999992E-3</v>
      </c>
      <c r="H371" s="2">
        <f>Table1[[#This Row],[İade Miktarı]]/Table1[[#This Row],[Satış Miktarı]]</f>
        <v>9.3457943925233638E-3</v>
      </c>
      <c r="I371" t="s">
        <v>18</v>
      </c>
      <c r="J371">
        <v>27</v>
      </c>
      <c r="K371">
        <f>Table1[[#This Row],[Satış Miktarı]]*Table1[[#This Row],[Satış Fiyatı]]</f>
        <v>89559</v>
      </c>
      <c r="L371" t="s">
        <v>19</v>
      </c>
      <c r="M371" t="s">
        <v>25</v>
      </c>
      <c r="N371" t="s">
        <v>50</v>
      </c>
      <c r="O371">
        <v>0.2</v>
      </c>
      <c r="P371" t="s">
        <v>27</v>
      </c>
      <c r="Q371" t="s">
        <v>36</v>
      </c>
    </row>
    <row r="372" spans="1:17">
      <c r="A372">
        <v>5254101</v>
      </c>
      <c r="B372" t="s">
        <v>49</v>
      </c>
      <c r="C372" t="s">
        <v>34</v>
      </c>
      <c r="D372" s="1">
        <v>47555</v>
      </c>
      <c r="E372">
        <v>1195</v>
      </c>
      <c r="F372">
        <v>28</v>
      </c>
      <c r="G372" s="2">
        <v>2.3400000000000001E-2</v>
      </c>
      <c r="H372" s="2">
        <f>Table1[[#This Row],[İade Miktarı]]/Table1[[#This Row],[Satış Miktarı]]</f>
        <v>2.3430962343096235E-2</v>
      </c>
      <c r="I372" t="s">
        <v>18</v>
      </c>
      <c r="J372">
        <v>47</v>
      </c>
      <c r="K372">
        <f>Table1[[#This Row],[Satış Miktarı]]*Table1[[#This Row],[Satış Fiyatı]]</f>
        <v>56165</v>
      </c>
      <c r="L372" t="s">
        <v>19</v>
      </c>
      <c r="M372" t="s">
        <v>30</v>
      </c>
      <c r="N372" t="s">
        <v>61</v>
      </c>
      <c r="O372">
        <v>0.2</v>
      </c>
      <c r="P372" t="s">
        <v>27</v>
      </c>
      <c r="Q372" t="s">
        <v>72</v>
      </c>
    </row>
    <row r="373" spans="1:17">
      <c r="A373">
        <v>238962431</v>
      </c>
      <c r="B373" t="s">
        <v>51</v>
      </c>
      <c r="C373" t="s">
        <v>17</v>
      </c>
      <c r="D373" s="1">
        <v>47492</v>
      </c>
      <c r="E373">
        <v>3125</v>
      </c>
      <c r="F373">
        <v>50</v>
      </c>
      <c r="G373" s="2">
        <v>1.6E-2</v>
      </c>
      <c r="H373" s="2">
        <f>Table1[[#This Row],[İade Miktarı]]/Table1[[#This Row],[Satış Miktarı]]</f>
        <v>1.6E-2</v>
      </c>
      <c r="I373" t="s">
        <v>18</v>
      </c>
      <c r="J373">
        <v>25</v>
      </c>
      <c r="K373">
        <f>Table1[[#This Row],[Satış Miktarı]]*Table1[[#This Row],[Satış Fiyatı]]</f>
        <v>78125</v>
      </c>
      <c r="L373" t="s">
        <v>19</v>
      </c>
      <c r="M373" t="s">
        <v>35</v>
      </c>
      <c r="N373" t="s">
        <v>21</v>
      </c>
      <c r="O373">
        <v>0.2</v>
      </c>
      <c r="P373" t="s">
        <v>22</v>
      </c>
      <c r="Q373" t="s">
        <v>56</v>
      </c>
    </row>
    <row r="374" spans="1:17">
      <c r="A374">
        <v>965533716</v>
      </c>
      <c r="B374" t="s">
        <v>54</v>
      </c>
      <c r="C374" t="s">
        <v>34</v>
      </c>
      <c r="D374" s="1">
        <v>47727</v>
      </c>
      <c r="E374">
        <v>2411</v>
      </c>
      <c r="F374">
        <v>18</v>
      </c>
      <c r="G374" s="2">
        <v>7.4999999999999997E-3</v>
      </c>
      <c r="H374" s="2">
        <f>Table1[[#This Row],[İade Miktarı]]/Table1[[#This Row],[Satış Miktarı]]</f>
        <v>7.4657818332642054E-3</v>
      </c>
      <c r="I374" t="s">
        <v>18</v>
      </c>
      <c r="J374">
        <v>40</v>
      </c>
      <c r="K374">
        <f>Table1[[#This Row],[Satış Miktarı]]*Table1[[#This Row],[Satış Fiyatı]]</f>
        <v>96440</v>
      </c>
      <c r="L374" t="s">
        <v>19</v>
      </c>
      <c r="M374" t="s">
        <v>38</v>
      </c>
      <c r="N374" t="s">
        <v>31</v>
      </c>
      <c r="O374">
        <v>0.2</v>
      </c>
      <c r="P374" t="s">
        <v>22</v>
      </c>
      <c r="Q374" t="s">
        <v>77</v>
      </c>
    </row>
    <row r="375" spans="1:17">
      <c r="A375">
        <v>56526469</v>
      </c>
      <c r="B375" t="s">
        <v>57</v>
      </c>
      <c r="C375" t="s">
        <v>34</v>
      </c>
      <c r="D375" s="1">
        <v>47929</v>
      </c>
      <c r="E375">
        <v>4630</v>
      </c>
      <c r="F375">
        <v>11</v>
      </c>
      <c r="G375" s="2">
        <v>2.3999999999999998E-3</v>
      </c>
      <c r="H375" s="2">
        <f>Table1[[#This Row],[İade Miktarı]]/Table1[[#This Row],[Satış Miktarı]]</f>
        <v>2.3758099352051837E-3</v>
      </c>
      <c r="I375" t="s">
        <v>18</v>
      </c>
      <c r="J375">
        <v>38</v>
      </c>
      <c r="K375">
        <f>Table1[[#This Row],[Satış Miktarı]]*Table1[[#This Row],[Satış Fiyatı]]</f>
        <v>175940</v>
      </c>
      <c r="L375" t="s">
        <v>19</v>
      </c>
      <c r="M375" t="s">
        <v>42</v>
      </c>
      <c r="N375" t="s">
        <v>31</v>
      </c>
      <c r="O375">
        <v>0.2</v>
      </c>
      <c r="P375" t="s">
        <v>27</v>
      </c>
      <c r="Q375" t="s">
        <v>48</v>
      </c>
    </row>
    <row r="376" spans="1:17">
      <c r="A376">
        <v>884408935</v>
      </c>
      <c r="B376" t="s">
        <v>59</v>
      </c>
      <c r="C376" t="s">
        <v>17</v>
      </c>
      <c r="D376" s="1">
        <v>48502</v>
      </c>
      <c r="E376">
        <v>2387</v>
      </c>
      <c r="F376">
        <v>24</v>
      </c>
      <c r="G376" s="2">
        <v>1.01E-2</v>
      </c>
      <c r="H376" s="2">
        <f>Table1[[#This Row],[İade Miktarı]]/Table1[[#This Row],[Satış Miktarı]]</f>
        <v>1.0054461667364893E-2</v>
      </c>
      <c r="I376" t="s">
        <v>18</v>
      </c>
      <c r="J376">
        <v>36</v>
      </c>
      <c r="K376">
        <f>Table1[[#This Row],[Satış Miktarı]]*Table1[[#This Row],[Satış Fiyatı]]</f>
        <v>85932</v>
      </c>
      <c r="L376" t="s">
        <v>19</v>
      </c>
      <c r="M376" t="s">
        <v>46</v>
      </c>
      <c r="N376" t="s">
        <v>26</v>
      </c>
      <c r="O376">
        <v>0.2</v>
      </c>
      <c r="P376" t="s">
        <v>22</v>
      </c>
      <c r="Q376" t="s">
        <v>28</v>
      </c>
    </row>
    <row r="377" spans="1:17">
      <c r="A377">
        <v>859489898</v>
      </c>
      <c r="B377" t="s">
        <v>63</v>
      </c>
      <c r="C377" t="s">
        <v>17</v>
      </c>
      <c r="D377" s="1">
        <v>48517</v>
      </c>
      <c r="E377">
        <v>2288</v>
      </c>
      <c r="F377">
        <v>39</v>
      </c>
      <c r="G377" s="2">
        <v>1.7000000000000001E-2</v>
      </c>
      <c r="H377" s="2">
        <f>Table1[[#This Row],[İade Miktarı]]/Table1[[#This Row],[Satış Miktarı]]</f>
        <v>1.7045454545454544E-2</v>
      </c>
      <c r="I377" t="s">
        <v>18</v>
      </c>
      <c r="J377">
        <v>22</v>
      </c>
      <c r="K377">
        <f>Table1[[#This Row],[Satış Miktarı]]*Table1[[#This Row],[Satış Fiyatı]]</f>
        <v>50336</v>
      </c>
      <c r="L377" t="s">
        <v>19</v>
      </c>
      <c r="M377" t="s">
        <v>46</v>
      </c>
      <c r="N377" t="s">
        <v>26</v>
      </c>
      <c r="O377">
        <v>0.2</v>
      </c>
      <c r="P377" t="s">
        <v>27</v>
      </c>
      <c r="Q377" t="s">
        <v>40</v>
      </c>
    </row>
    <row r="378" spans="1:17">
      <c r="A378">
        <v>308904112</v>
      </c>
      <c r="B378" t="s">
        <v>67</v>
      </c>
      <c r="C378" t="s">
        <v>17</v>
      </c>
      <c r="D378" s="1">
        <v>47748</v>
      </c>
      <c r="E378">
        <v>3248</v>
      </c>
      <c r="F378">
        <v>26</v>
      </c>
      <c r="G378" s="2">
        <v>8.0000000000000002E-3</v>
      </c>
      <c r="H378" s="2">
        <f>Table1[[#This Row],[İade Miktarı]]/Table1[[#This Row],[Satış Miktarı]]</f>
        <v>8.0049261083743849E-3</v>
      </c>
      <c r="I378" t="s">
        <v>18</v>
      </c>
      <c r="J378">
        <v>23</v>
      </c>
      <c r="K378">
        <f>Table1[[#This Row],[Satış Miktarı]]*Table1[[#This Row],[Satış Fiyatı]]</f>
        <v>74704</v>
      </c>
      <c r="L378" t="s">
        <v>19</v>
      </c>
      <c r="M378" t="s">
        <v>52</v>
      </c>
      <c r="N378" t="s">
        <v>76</v>
      </c>
      <c r="O378">
        <v>0.2</v>
      </c>
      <c r="P378" t="s">
        <v>22</v>
      </c>
      <c r="Q378" t="s">
        <v>69</v>
      </c>
    </row>
    <row r="379" spans="1:17">
      <c r="A379">
        <v>786884351</v>
      </c>
      <c r="B379" t="s">
        <v>70</v>
      </c>
      <c r="C379" t="s">
        <v>17</v>
      </c>
      <c r="D379" s="1">
        <v>47687</v>
      </c>
      <c r="E379">
        <v>2526</v>
      </c>
      <c r="F379">
        <v>37</v>
      </c>
      <c r="G379" s="2">
        <v>1.46E-2</v>
      </c>
      <c r="H379" s="2">
        <f>Table1[[#This Row],[İade Miktarı]]/Table1[[#This Row],[Satış Miktarı]]</f>
        <v>1.4647664291369754E-2</v>
      </c>
      <c r="I379" t="s">
        <v>18</v>
      </c>
      <c r="J379">
        <v>26</v>
      </c>
      <c r="K379">
        <f>Table1[[#This Row],[Satış Miktarı]]*Table1[[#This Row],[Satış Fiyatı]]</f>
        <v>65676</v>
      </c>
      <c r="L379" t="s">
        <v>19</v>
      </c>
      <c r="M379" t="s">
        <v>55</v>
      </c>
      <c r="N379" t="s">
        <v>65</v>
      </c>
      <c r="O379">
        <v>0.2</v>
      </c>
      <c r="P379" t="s">
        <v>27</v>
      </c>
      <c r="Q379" t="s">
        <v>82</v>
      </c>
    </row>
    <row r="380" spans="1:17">
      <c r="A380">
        <v>582018669</v>
      </c>
      <c r="B380" t="s">
        <v>73</v>
      </c>
      <c r="C380" t="s">
        <v>17</v>
      </c>
      <c r="D380" s="1">
        <v>48502</v>
      </c>
      <c r="E380">
        <v>2046</v>
      </c>
      <c r="F380">
        <v>31</v>
      </c>
      <c r="G380" s="2">
        <v>1.52E-2</v>
      </c>
      <c r="H380" s="2">
        <f>Table1[[#This Row],[İade Miktarı]]/Table1[[#This Row],[Satış Miktarı]]</f>
        <v>1.5151515151515152E-2</v>
      </c>
      <c r="I380" t="s">
        <v>18</v>
      </c>
      <c r="J380">
        <v>49</v>
      </c>
      <c r="K380">
        <f>Table1[[#This Row],[Satış Miktarı]]*Table1[[#This Row],[Satış Fiyatı]]</f>
        <v>100254</v>
      </c>
      <c r="L380" t="s">
        <v>19</v>
      </c>
      <c r="M380" t="s">
        <v>58</v>
      </c>
      <c r="N380" t="s">
        <v>65</v>
      </c>
      <c r="O380">
        <v>0.2</v>
      </c>
      <c r="P380" t="s">
        <v>22</v>
      </c>
      <c r="Q380" t="s">
        <v>83</v>
      </c>
    </row>
    <row r="381" spans="1:17">
      <c r="A381">
        <v>50275812</v>
      </c>
      <c r="B381" t="s">
        <v>16</v>
      </c>
      <c r="C381" t="s">
        <v>17</v>
      </c>
      <c r="D381" s="1">
        <v>48418</v>
      </c>
      <c r="E381">
        <v>4411</v>
      </c>
      <c r="F381">
        <v>15</v>
      </c>
      <c r="G381" s="2">
        <v>3.3999999999999998E-3</v>
      </c>
      <c r="H381" s="2">
        <f>Table1[[#This Row],[İade Miktarı]]/Table1[[#This Row],[Satış Miktarı]]</f>
        <v>3.4005894355021537E-3</v>
      </c>
      <c r="I381" t="s">
        <v>18</v>
      </c>
      <c r="J381">
        <v>20</v>
      </c>
      <c r="K381">
        <f>Table1[[#This Row],[Satış Miktarı]]*Table1[[#This Row],[Satış Fiyatı]]</f>
        <v>88220</v>
      </c>
      <c r="L381" t="s">
        <v>19</v>
      </c>
      <c r="M381" t="s">
        <v>60</v>
      </c>
      <c r="N381" t="s">
        <v>39</v>
      </c>
      <c r="O381">
        <v>0.2</v>
      </c>
      <c r="P381" t="s">
        <v>27</v>
      </c>
      <c r="Q381" t="s">
        <v>62</v>
      </c>
    </row>
    <row r="382" spans="1:17">
      <c r="A382">
        <v>668700405</v>
      </c>
      <c r="B382" t="s">
        <v>24</v>
      </c>
      <c r="C382" t="s">
        <v>17</v>
      </c>
      <c r="D382" s="1">
        <v>48069</v>
      </c>
      <c r="E382">
        <v>1482</v>
      </c>
      <c r="F382">
        <v>33</v>
      </c>
      <c r="G382" s="2">
        <v>2.23E-2</v>
      </c>
      <c r="H382" s="2">
        <f>Table1[[#This Row],[İade Miktarı]]/Table1[[#This Row],[Satış Miktarı]]</f>
        <v>2.2267206477732792E-2</v>
      </c>
      <c r="I382" t="s">
        <v>18</v>
      </c>
      <c r="J382">
        <v>49</v>
      </c>
      <c r="K382">
        <f>Table1[[#This Row],[Satış Miktarı]]*Table1[[#This Row],[Satış Fiyatı]]</f>
        <v>72618</v>
      </c>
      <c r="L382" t="s">
        <v>19</v>
      </c>
      <c r="M382" t="s">
        <v>64</v>
      </c>
      <c r="N382" t="s">
        <v>61</v>
      </c>
      <c r="O382">
        <v>0.2</v>
      </c>
      <c r="P382" t="s">
        <v>22</v>
      </c>
      <c r="Q382" t="s">
        <v>83</v>
      </c>
    </row>
    <row r="383" spans="1:17">
      <c r="A383">
        <v>357955912</v>
      </c>
      <c r="B383" t="s">
        <v>29</v>
      </c>
      <c r="C383" t="s">
        <v>17</v>
      </c>
      <c r="D383" s="1">
        <v>48466</v>
      </c>
      <c r="E383">
        <v>1647</v>
      </c>
      <c r="F383">
        <v>28</v>
      </c>
      <c r="G383" s="2">
        <v>1.7000000000000001E-2</v>
      </c>
      <c r="H383" s="2">
        <f>Table1[[#This Row],[İade Miktarı]]/Table1[[#This Row],[Satış Miktarı]]</f>
        <v>1.700060716454159E-2</v>
      </c>
      <c r="I383" t="s">
        <v>18</v>
      </c>
      <c r="J383">
        <v>48</v>
      </c>
      <c r="K383">
        <f>Table1[[#This Row],[Satış Miktarı]]*Table1[[#This Row],[Satış Fiyatı]]</f>
        <v>79056</v>
      </c>
      <c r="L383" t="s">
        <v>19</v>
      </c>
      <c r="M383" t="s">
        <v>68</v>
      </c>
      <c r="N383" t="s">
        <v>21</v>
      </c>
      <c r="O383">
        <v>0.2</v>
      </c>
      <c r="P383" t="s">
        <v>22</v>
      </c>
      <c r="Q383" t="s">
        <v>84</v>
      </c>
    </row>
    <row r="384" spans="1:17">
      <c r="A384">
        <v>612468039</v>
      </c>
      <c r="B384" t="s">
        <v>33</v>
      </c>
      <c r="C384" t="s">
        <v>34</v>
      </c>
      <c r="D384" s="1">
        <v>47618</v>
      </c>
      <c r="E384">
        <v>1798</v>
      </c>
      <c r="F384">
        <v>18</v>
      </c>
      <c r="G384" s="2">
        <v>0.01</v>
      </c>
      <c r="H384" s="2">
        <f>Table1[[#This Row],[İade Miktarı]]/Table1[[#This Row],[Satış Miktarı]]</f>
        <v>1.0011123470522803E-2</v>
      </c>
      <c r="I384" t="s">
        <v>18</v>
      </c>
      <c r="J384">
        <v>31</v>
      </c>
      <c r="K384">
        <f>Table1[[#This Row],[Satış Miktarı]]*Table1[[#This Row],[Satış Fiyatı]]</f>
        <v>55738</v>
      </c>
      <c r="L384" t="s">
        <v>19</v>
      </c>
      <c r="M384" t="s">
        <v>71</v>
      </c>
      <c r="N384" t="s">
        <v>26</v>
      </c>
      <c r="O384">
        <v>0.2</v>
      </c>
      <c r="P384" t="s">
        <v>22</v>
      </c>
      <c r="Q384" t="s">
        <v>79</v>
      </c>
    </row>
    <row r="385" spans="1:17">
      <c r="A385">
        <v>341351921</v>
      </c>
      <c r="B385" t="s">
        <v>37</v>
      </c>
      <c r="C385" t="s">
        <v>34</v>
      </c>
      <c r="D385" s="1">
        <v>47573</v>
      </c>
      <c r="E385">
        <v>1432</v>
      </c>
      <c r="F385">
        <v>26</v>
      </c>
      <c r="G385" s="2">
        <v>1.8200000000000001E-2</v>
      </c>
      <c r="H385" s="2">
        <f>Table1[[#This Row],[İade Miktarı]]/Table1[[#This Row],[Satış Miktarı]]</f>
        <v>1.8156424581005588E-2</v>
      </c>
      <c r="I385" t="s">
        <v>18</v>
      </c>
      <c r="J385">
        <v>21</v>
      </c>
      <c r="K385">
        <f>Table1[[#This Row],[Satış Miktarı]]*Table1[[#This Row],[Satış Fiyatı]]</f>
        <v>30072</v>
      </c>
      <c r="L385" t="s">
        <v>19</v>
      </c>
      <c r="M385" t="s">
        <v>74</v>
      </c>
      <c r="N385" t="s">
        <v>78</v>
      </c>
      <c r="O385">
        <v>0.2</v>
      </c>
      <c r="P385" t="s">
        <v>27</v>
      </c>
      <c r="Q385" t="s">
        <v>72</v>
      </c>
    </row>
    <row r="386" spans="1:17">
      <c r="A386">
        <v>922536509</v>
      </c>
      <c r="B386" t="s">
        <v>41</v>
      </c>
      <c r="C386" t="s">
        <v>17</v>
      </c>
      <c r="D386" s="1">
        <v>48065</v>
      </c>
      <c r="E386">
        <v>3264</v>
      </c>
      <c r="F386">
        <v>19</v>
      </c>
      <c r="G386" s="2">
        <v>5.7999999999999996E-3</v>
      </c>
      <c r="H386" s="2">
        <f>Table1[[#This Row],[İade Miktarı]]/Table1[[#This Row],[Satış Miktarı]]</f>
        <v>5.8210784313725492E-3</v>
      </c>
      <c r="I386" t="s">
        <v>18</v>
      </c>
      <c r="J386">
        <v>33</v>
      </c>
      <c r="K386">
        <f>Table1[[#This Row],[Satış Miktarı]]*Table1[[#This Row],[Satış Fiyatı]]</f>
        <v>107712</v>
      </c>
      <c r="L386" t="s">
        <v>19</v>
      </c>
      <c r="M386" t="s">
        <v>20</v>
      </c>
      <c r="N386" t="s">
        <v>78</v>
      </c>
      <c r="O386">
        <v>0.2</v>
      </c>
      <c r="P386" t="s">
        <v>22</v>
      </c>
      <c r="Q386" t="s">
        <v>77</v>
      </c>
    </row>
    <row r="387" spans="1:17">
      <c r="A387">
        <v>159350700</v>
      </c>
      <c r="B387" t="s">
        <v>44</v>
      </c>
      <c r="C387" t="s">
        <v>17</v>
      </c>
      <c r="D387" s="1">
        <v>47702</v>
      </c>
      <c r="E387">
        <v>4984</v>
      </c>
      <c r="F387">
        <v>46</v>
      </c>
      <c r="G387" s="2">
        <v>9.1999999999999998E-3</v>
      </c>
      <c r="H387" s="2">
        <f>Table1[[#This Row],[İade Miktarı]]/Table1[[#This Row],[Satış Miktarı]]</f>
        <v>9.2295345104333876E-3</v>
      </c>
      <c r="I387" t="s">
        <v>18</v>
      </c>
      <c r="J387">
        <v>30</v>
      </c>
      <c r="K387">
        <f>Table1[[#This Row],[Satış Miktarı]]*Table1[[#This Row],[Satış Fiyatı]]</f>
        <v>149520</v>
      </c>
      <c r="L387" t="s">
        <v>19</v>
      </c>
      <c r="M387" t="s">
        <v>25</v>
      </c>
      <c r="N387" t="s">
        <v>76</v>
      </c>
      <c r="O387">
        <v>0.2</v>
      </c>
      <c r="P387" t="s">
        <v>27</v>
      </c>
      <c r="Q387" t="s">
        <v>36</v>
      </c>
    </row>
    <row r="388" spans="1:17">
      <c r="A388">
        <v>951368012</v>
      </c>
      <c r="B388" t="s">
        <v>49</v>
      </c>
      <c r="C388" t="s">
        <v>34</v>
      </c>
      <c r="D388" s="1">
        <v>47516</v>
      </c>
      <c r="E388">
        <v>4801</v>
      </c>
      <c r="F388">
        <v>43</v>
      </c>
      <c r="G388" s="2">
        <v>8.9999999999999993E-3</v>
      </c>
      <c r="H388" s="2">
        <f>Table1[[#This Row],[İade Miktarı]]/Table1[[#This Row],[Satış Miktarı]]</f>
        <v>8.9564674026244538E-3</v>
      </c>
      <c r="I388" t="s">
        <v>45</v>
      </c>
      <c r="J388">
        <v>40</v>
      </c>
      <c r="K388">
        <f>Table1[[#This Row],[Satış Miktarı]]*Table1[[#This Row],[Satış Fiyatı]]</f>
        <v>192040</v>
      </c>
      <c r="L388" t="s">
        <v>19</v>
      </c>
      <c r="M388" t="s">
        <v>30</v>
      </c>
      <c r="N388" t="s">
        <v>21</v>
      </c>
      <c r="O388">
        <v>0.2</v>
      </c>
      <c r="P388" t="s">
        <v>27</v>
      </c>
      <c r="Q388" t="s">
        <v>83</v>
      </c>
    </row>
    <row r="389" spans="1:17">
      <c r="A389">
        <v>994151866</v>
      </c>
      <c r="B389" t="s">
        <v>51</v>
      </c>
      <c r="C389" t="s">
        <v>17</v>
      </c>
      <c r="D389" s="1">
        <v>47862</v>
      </c>
      <c r="E389">
        <v>3322</v>
      </c>
      <c r="F389">
        <v>22</v>
      </c>
      <c r="G389" s="2">
        <v>6.6E-3</v>
      </c>
      <c r="H389" s="2">
        <f>Table1[[#This Row],[İade Miktarı]]/Table1[[#This Row],[Satış Miktarı]]</f>
        <v>6.6225165562913907E-3</v>
      </c>
      <c r="I389" t="s">
        <v>45</v>
      </c>
      <c r="J389">
        <v>41</v>
      </c>
      <c r="K389">
        <f>Table1[[#This Row],[Satış Miktarı]]*Table1[[#This Row],[Satış Fiyatı]]</f>
        <v>136202</v>
      </c>
      <c r="L389" t="s">
        <v>19</v>
      </c>
      <c r="M389" t="s">
        <v>35</v>
      </c>
      <c r="N389" t="s">
        <v>21</v>
      </c>
      <c r="O389">
        <v>0.2</v>
      </c>
      <c r="P389" t="s">
        <v>27</v>
      </c>
      <c r="Q389" t="s">
        <v>69</v>
      </c>
    </row>
    <row r="390" spans="1:17">
      <c r="A390">
        <v>227315267</v>
      </c>
      <c r="B390" t="s">
        <v>54</v>
      </c>
      <c r="C390" t="s">
        <v>34</v>
      </c>
      <c r="D390" s="1">
        <v>48174</v>
      </c>
      <c r="E390">
        <v>3842</v>
      </c>
      <c r="F390">
        <v>36</v>
      </c>
      <c r="G390" s="2">
        <v>9.4000000000000004E-3</v>
      </c>
      <c r="H390" s="2">
        <f>Table1[[#This Row],[İade Miktarı]]/Table1[[#This Row],[Satış Miktarı]]</f>
        <v>9.3701197293076521E-3</v>
      </c>
      <c r="I390" t="s">
        <v>18</v>
      </c>
      <c r="J390">
        <v>23</v>
      </c>
      <c r="K390">
        <f>Table1[[#This Row],[Satış Miktarı]]*Table1[[#This Row],[Satış Fiyatı]]</f>
        <v>88366</v>
      </c>
      <c r="L390" t="s">
        <v>19</v>
      </c>
      <c r="M390" t="s">
        <v>38</v>
      </c>
      <c r="N390" t="s">
        <v>47</v>
      </c>
      <c r="O390">
        <v>0.2</v>
      </c>
      <c r="P390" t="s">
        <v>27</v>
      </c>
      <c r="Q390" t="s">
        <v>28</v>
      </c>
    </row>
    <row r="391" spans="1:17">
      <c r="A391">
        <v>951507426</v>
      </c>
      <c r="B391" t="s">
        <v>57</v>
      </c>
      <c r="C391" t="s">
        <v>34</v>
      </c>
      <c r="D391" s="1">
        <v>48216</v>
      </c>
      <c r="E391">
        <v>1037</v>
      </c>
      <c r="F391">
        <v>13</v>
      </c>
      <c r="G391" s="2">
        <v>1.2500000000000001E-2</v>
      </c>
      <c r="H391" s="2">
        <f>Table1[[#This Row],[İade Miktarı]]/Table1[[#This Row],[Satış Miktarı]]</f>
        <v>1.253616200578592E-2</v>
      </c>
      <c r="I391" t="s">
        <v>18</v>
      </c>
      <c r="J391">
        <v>30</v>
      </c>
      <c r="K391">
        <f>Table1[[#This Row],[Satış Miktarı]]*Table1[[#This Row],[Satış Fiyatı]]</f>
        <v>31110</v>
      </c>
      <c r="L391" t="s">
        <v>19</v>
      </c>
      <c r="M391" t="s">
        <v>42</v>
      </c>
      <c r="N391" t="s">
        <v>76</v>
      </c>
      <c r="O391">
        <v>0.2</v>
      </c>
      <c r="P391" t="s">
        <v>22</v>
      </c>
      <c r="Q391" t="s">
        <v>56</v>
      </c>
    </row>
    <row r="392" spans="1:17">
      <c r="A392">
        <v>837952620</v>
      </c>
      <c r="B392" t="s">
        <v>59</v>
      </c>
      <c r="C392" t="s">
        <v>17</v>
      </c>
      <c r="D392" s="1">
        <v>47881</v>
      </c>
      <c r="E392">
        <v>4521</v>
      </c>
      <c r="F392">
        <v>40</v>
      </c>
      <c r="G392" s="2">
        <v>8.8000000000000005E-3</v>
      </c>
      <c r="H392" s="2">
        <f>Table1[[#This Row],[İade Miktarı]]/Table1[[#This Row],[Satış Miktarı]]</f>
        <v>8.8476000884760014E-3</v>
      </c>
      <c r="I392" t="s">
        <v>18</v>
      </c>
      <c r="J392">
        <v>46</v>
      </c>
      <c r="K392">
        <f>Table1[[#This Row],[Satış Miktarı]]*Table1[[#This Row],[Satış Fiyatı]]</f>
        <v>207966</v>
      </c>
      <c r="L392" t="s">
        <v>19</v>
      </c>
      <c r="M392" t="s">
        <v>46</v>
      </c>
      <c r="N392" t="s">
        <v>39</v>
      </c>
      <c r="O392">
        <v>0.2</v>
      </c>
      <c r="P392" t="s">
        <v>22</v>
      </c>
      <c r="Q392" t="s">
        <v>66</v>
      </c>
    </row>
    <row r="393" spans="1:17">
      <c r="A393">
        <v>806365175</v>
      </c>
      <c r="B393" t="s">
        <v>63</v>
      </c>
      <c r="C393" t="s">
        <v>17</v>
      </c>
      <c r="D393" s="1">
        <v>48360</v>
      </c>
      <c r="E393">
        <v>4520</v>
      </c>
      <c r="F393">
        <v>18</v>
      </c>
      <c r="G393" s="2">
        <v>4.0000000000000001E-3</v>
      </c>
      <c r="H393" s="2">
        <f>Table1[[#This Row],[İade Miktarı]]/Table1[[#This Row],[Satış Miktarı]]</f>
        <v>3.9823008849557522E-3</v>
      </c>
      <c r="I393" t="s">
        <v>18</v>
      </c>
      <c r="J393">
        <v>29</v>
      </c>
      <c r="K393">
        <f>Table1[[#This Row],[Satış Miktarı]]*Table1[[#This Row],[Satış Fiyatı]]</f>
        <v>131080</v>
      </c>
      <c r="L393" t="s">
        <v>19</v>
      </c>
      <c r="M393" t="s">
        <v>46</v>
      </c>
      <c r="N393" t="s">
        <v>43</v>
      </c>
      <c r="O393">
        <v>0.2</v>
      </c>
      <c r="P393" t="s">
        <v>27</v>
      </c>
      <c r="Q393" t="s">
        <v>69</v>
      </c>
    </row>
    <row r="394" spans="1:17">
      <c r="A394">
        <v>678325819</v>
      </c>
      <c r="B394" t="s">
        <v>29</v>
      </c>
      <c r="C394" t="s">
        <v>17</v>
      </c>
      <c r="D394" s="1">
        <v>47857</v>
      </c>
      <c r="E394">
        <v>1687</v>
      </c>
      <c r="F394">
        <v>43</v>
      </c>
      <c r="G394" s="2">
        <v>2.5499999999999998E-2</v>
      </c>
      <c r="H394" s="2">
        <f>Table1[[#This Row],[İade Miktarı]]/Table1[[#This Row],[Satış Miktarı]]</f>
        <v>2.5489033787788974E-2</v>
      </c>
      <c r="I394" t="s">
        <v>18</v>
      </c>
      <c r="J394">
        <v>33</v>
      </c>
      <c r="K394">
        <f>Table1[[#This Row],[Satış Miktarı]]*Table1[[#This Row],[Satış Fiyatı]]</f>
        <v>55671</v>
      </c>
      <c r="L394" t="s">
        <v>19</v>
      </c>
      <c r="M394" t="s">
        <v>52</v>
      </c>
      <c r="N394" t="s">
        <v>43</v>
      </c>
      <c r="O394">
        <v>0.2</v>
      </c>
      <c r="P394" t="s">
        <v>27</v>
      </c>
      <c r="Q394" t="s">
        <v>80</v>
      </c>
    </row>
    <row r="395" spans="1:17">
      <c r="A395">
        <v>387648927</v>
      </c>
      <c r="B395" t="s">
        <v>33</v>
      </c>
      <c r="C395" t="s">
        <v>34</v>
      </c>
      <c r="D395" s="1">
        <v>47680</v>
      </c>
      <c r="E395">
        <v>3907</v>
      </c>
      <c r="F395">
        <v>36</v>
      </c>
      <c r="G395" s="2">
        <v>9.1999999999999998E-3</v>
      </c>
      <c r="H395" s="2">
        <f>Table1[[#This Row],[İade Miktarı]]/Table1[[#This Row],[Satış Miktarı]]</f>
        <v>9.2142308676734074E-3</v>
      </c>
      <c r="I395" t="s">
        <v>18</v>
      </c>
      <c r="J395">
        <v>47</v>
      </c>
      <c r="K395">
        <f>Table1[[#This Row],[Satış Miktarı]]*Table1[[#This Row],[Satış Fiyatı]]</f>
        <v>183629</v>
      </c>
      <c r="L395" t="s">
        <v>19</v>
      </c>
      <c r="M395" t="s">
        <v>55</v>
      </c>
      <c r="N395" t="s">
        <v>21</v>
      </c>
      <c r="O395">
        <v>0.2</v>
      </c>
      <c r="P395" t="s">
        <v>22</v>
      </c>
      <c r="Q395" t="s">
        <v>32</v>
      </c>
    </row>
    <row r="396" spans="1:17">
      <c r="A396">
        <v>409639775</v>
      </c>
      <c r="B396" t="s">
        <v>37</v>
      </c>
      <c r="C396" t="s">
        <v>34</v>
      </c>
      <c r="D396" s="1">
        <v>47928</v>
      </c>
      <c r="E396">
        <v>1013</v>
      </c>
      <c r="F396">
        <v>45</v>
      </c>
      <c r="G396" s="2">
        <v>4.4400000000000002E-2</v>
      </c>
      <c r="H396" s="2">
        <f>Table1[[#This Row],[İade Miktarı]]/Table1[[#This Row],[Satış Miktarı]]</f>
        <v>4.4422507403751234E-2</v>
      </c>
      <c r="I396" t="s">
        <v>18</v>
      </c>
      <c r="J396">
        <v>42</v>
      </c>
      <c r="K396">
        <f>Table1[[#This Row],[Satış Miktarı]]*Table1[[#This Row],[Satış Fiyatı]]</f>
        <v>42546</v>
      </c>
      <c r="L396" t="s">
        <v>19</v>
      </c>
      <c r="M396" t="s">
        <v>58</v>
      </c>
      <c r="N396" t="s">
        <v>78</v>
      </c>
      <c r="O396">
        <v>0.2</v>
      </c>
      <c r="P396" t="s">
        <v>22</v>
      </c>
      <c r="Q396" t="s">
        <v>79</v>
      </c>
    </row>
    <row r="397" spans="1:17">
      <c r="A397">
        <v>937208840</v>
      </c>
      <c r="B397" t="s">
        <v>41</v>
      </c>
      <c r="C397" t="s">
        <v>17</v>
      </c>
      <c r="D397" s="1">
        <v>48155</v>
      </c>
      <c r="E397">
        <v>2759</v>
      </c>
      <c r="F397">
        <v>36</v>
      </c>
      <c r="G397" s="2">
        <v>1.2999999999999999E-2</v>
      </c>
      <c r="H397" s="2">
        <f>Table1[[#This Row],[İade Miktarı]]/Table1[[#This Row],[Satış Miktarı]]</f>
        <v>1.3048205871692642E-2</v>
      </c>
      <c r="I397" t="s">
        <v>18</v>
      </c>
      <c r="J397">
        <v>29</v>
      </c>
      <c r="K397">
        <f>Table1[[#This Row],[Satış Miktarı]]*Table1[[#This Row],[Satış Fiyatı]]</f>
        <v>80011</v>
      </c>
      <c r="L397" t="s">
        <v>19</v>
      </c>
      <c r="M397" t="s">
        <v>60</v>
      </c>
      <c r="N397" t="s">
        <v>65</v>
      </c>
      <c r="O397">
        <v>0.2</v>
      </c>
      <c r="P397" t="s">
        <v>27</v>
      </c>
      <c r="Q397" t="s">
        <v>77</v>
      </c>
    </row>
    <row r="398" spans="1:17">
      <c r="A398">
        <v>256624467</v>
      </c>
      <c r="B398" t="s">
        <v>44</v>
      </c>
      <c r="C398" t="s">
        <v>17</v>
      </c>
      <c r="D398" s="1">
        <v>48258</v>
      </c>
      <c r="E398">
        <v>1065</v>
      </c>
      <c r="F398">
        <v>44</v>
      </c>
      <c r="G398" s="2">
        <v>4.1300000000000003E-2</v>
      </c>
      <c r="H398" s="2">
        <f>Table1[[#This Row],[İade Miktarı]]/Table1[[#This Row],[Satış Miktarı]]</f>
        <v>4.1314553990610327E-2</v>
      </c>
      <c r="I398" t="s">
        <v>18</v>
      </c>
      <c r="J398">
        <v>36</v>
      </c>
      <c r="K398">
        <f>Table1[[#This Row],[Satış Miktarı]]*Table1[[#This Row],[Satış Fiyatı]]</f>
        <v>38340</v>
      </c>
      <c r="L398" t="s">
        <v>19</v>
      </c>
      <c r="M398" t="s">
        <v>64</v>
      </c>
      <c r="N398" t="s">
        <v>47</v>
      </c>
      <c r="O398">
        <v>0.2</v>
      </c>
      <c r="P398" t="s">
        <v>22</v>
      </c>
      <c r="Q398" t="s">
        <v>77</v>
      </c>
    </row>
    <row r="399" spans="1:17">
      <c r="A399">
        <v>523128234</v>
      </c>
      <c r="B399" t="s">
        <v>49</v>
      </c>
      <c r="C399" t="s">
        <v>34</v>
      </c>
      <c r="D399" s="1">
        <v>48099</v>
      </c>
      <c r="E399">
        <v>2701</v>
      </c>
      <c r="F399">
        <v>10</v>
      </c>
      <c r="G399" s="2">
        <v>3.7000000000000002E-3</v>
      </c>
      <c r="H399" s="2">
        <f>Table1[[#This Row],[İade Miktarı]]/Table1[[#This Row],[Satış Miktarı]]</f>
        <v>3.7023324694557573E-3</v>
      </c>
      <c r="I399" t="s">
        <v>18</v>
      </c>
      <c r="J399">
        <v>24</v>
      </c>
      <c r="K399">
        <f>Table1[[#This Row],[Satış Miktarı]]*Table1[[#This Row],[Satış Fiyatı]]</f>
        <v>64824</v>
      </c>
      <c r="L399" t="s">
        <v>19</v>
      </c>
      <c r="M399" t="s">
        <v>68</v>
      </c>
      <c r="N399" t="s">
        <v>78</v>
      </c>
      <c r="O399">
        <v>0.2</v>
      </c>
      <c r="P399" t="s">
        <v>27</v>
      </c>
      <c r="Q399" t="s">
        <v>28</v>
      </c>
    </row>
    <row r="400" spans="1:17">
      <c r="A400">
        <v>973627291</v>
      </c>
      <c r="B400" t="s">
        <v>51</v>
      </c>
      <c r="C400" t="s">
        <v>17</v>
      </c>
      <c r="D400" s="1">
        <v>48463</v>
      </c>
      <c r="E400">
        <v>1871</v>
      </c>
      <c r="F400">
        <v>42</v>
      </c>
      <c r="G400" s="2">
        <v>2.24E-2</v>
      </c>
      <c r="H400" s="2">
        <f>Table1[[#This Row],[İade Miktarı]]/Table1[[#This Row],[Satış Miktarı]]</f>
        <v>2.2447888829502941E-2</v>
      </c>
      <c r="I400" t="s">
        <v>18</v>
      </c>
      <c r="J400">
        <v>26</v>
      </c>
      <c r="K400">
        <f>Table1[[#This Row],[Satış Miktarı]]*Table1[[#This Row],[Satış Fiyatı]]</f>
        <v>48646</v>
      </c>
      <c r="L400" t="s">
        <v>19</v>
      </c>
      <c r="M400" t="s">
        <v>71</v>
      </c>
      <c r="N400" t="s">
        <v>31</v>
      </c>
      <c r="O400">
        <v>0.2</v>
      </c>
      <c r="P400" t="s">
        <v>22</v>
      </c>
      <c r="Q400" t="s">
        <v>28</v>
      </c>
    </row>
    <row r="401" spans="1:17">
      <c r="A401">
        <v>414676374</v>
      </c>
      <c r="B401" t="s">
        <v>54</v>
      </c>
      <c r="C401" t="s">
        <v>34</v>
      </c>
      <c r="D401" s="1">
        <v>48265</v>
      </c>
      <c r="E401">
        <v>4292</v>
      </c>
      <c r="F401">
        <v>18</v>
      </c>
      <c r="G401" s="2">
        <v>4.1999999999999997E-3</v>
      </c>
      <c r="H401" s="2">
        <f>Table1[[#This Row],[İade Miktarı]]/Table1[[#This Row],[Satış Miktarı]]</f>
        <v>4.1938490214352281E-3</v>
      </c>
      <c r="I401" t="s">
        <v>18</v>
      </c>
      <c r="J401">
        <v>36</v>
      </c>
      <c r="K401">
        <f>Table1[[#This Row],[Satış Miktarı]]*Table1[[#This Row],[Satış Fiyatı]]</f>
        <v>154512</v>
      </c>
      <c r="L401" t="s">
        <v>19</v>
      </c>
      <c r="M401" t="s">
        <v>74</v>
      </c>
      <c r="N401" t="s">
        <v>78</v>
      </c>
      <c r="O401">
        <v>0.2</v>
      </c>
      <c r="P401" t="s">
        <v>22</v>
      </c>
      <c r="Q401" t="s">
        <v>84</v>
      </c>
    </row>
    <row r="402" spans="1:17">
      <c r="A402">
        <v>792896553</v>
      </c>
      <c r="B402" t="s">
        <v>57</v>
      </c>
      <c r="C402" t="s">
        <v>34</v>
      </c>
      <c r="D402" s="1">
        <v>48344</v>
      </c>
      <c r="E402">
        <v>3047</v>
      </c>
      <c r="F402">
        <v>24</v>
      </c>
      <c r="G402" s="2">
        <v>7.9000000000000008E-3</v>
      </c>
      <c r="H402" s="2">
        <f>Table1[[#This Row],[İade Miktarı]]/Table1[[#This Row],[Satış Miktarı]]</f>
        <v>7.8765999343616677E-3</v>
      </c>
      <c r="I402" t="s">
        <v>18</v>
      </c>
      <c r="J402">
        <v>41</v>
      </c>
      <c r="K402">
        <f>Table1[[#This Row],[Satış Miktarı]]*Table1[[#This Row],[Satış Fiyatı]]</f>
        <v>124927</v>
      </c>
      <c r="L402" t="s">
        <v>19</v>
      </c>
      <c r="M402" t="s">
        <v>20</v>
      </c>
      <c r="N402" t="s">
        <v>26</v>
      </c>
      <c r="O402">
        <v>0.2</v>
      </c>
      <c r="P402" t="s">
        <v>27</v>
      </c>
      <c r="Q402" t="s">
        <v>53</v>
      </c>
    </row>
    <row r="403" spans="1:17">
      <c r="A403">
        <v>986892627</v>
      </c>
      <c r="B403" t="s">
        <v>59</v>
      </c>
      <c r="C403" t="s">
        <v>17</v>
      </c>
      <c r="D403" s="1">
        <v>48053</v>
      </c>
      <c r="E403">
        <v>1687</v>
      </c>
      <c r="F403">
        <v>20</v>
      </c>
      <c r="G403" s="2">
        <v>1.1900000000000001E-2</v>
      </c>
      <c r="H403" s="2">
        <f>Table1[[#This Row],[İade Miktarı]]/Table1[[#This Row],[Satış Miktarı]]</f>
        <v>1.1855364552459988E-2</v>
      </c>
      <c r="I403" t="s">
        <v>18</v>
      </c>
      <c r="J403">
        <v>28</v>
      </c>
      <c r="K403">
        <f>Table1[[#This Row],[Satış Miktarı]]*Table1[[#This Row],[Satış Fiyatı]]</f>
        <v>47236</v>
      </c>
      <c r="L403" t="s">
        <v>19</v>
      </c>
      <c r="M403" t="s">
        <v>25</v>
      </c>
      <c r="N403" t="s">
        <v>39</v>
      </c>
      <c r="O403">
        <v>0.2</v>
      </c>
      <c r="P403" t="s">
        <v>27</v>
      </c>
      <c r="Q403" t="s">
        <v>53</v>
      </c>
    </row>
    <row r="404" spans="1:17">
      <c r="A404">
        <v>904196464</v>
      </c>
      <c r="B404" t="s">
        <v>63</v>
      </c>
      <c r="C404" t="s">
        <v>17</v>
      </c>
      <c r="D404" s="1">
        <v>48297</v>
      </c>
      <c r="E404">
        <v>2635</v>
      </c>
      <c r="F404">
        <v>29</v>
      </c>
      <c r="G404" s="2">
        <v>1.0999999999999999E-2</v>
      </c>
      <c r="H404" s="2">
        <f>Table1[[#This Row],[İade Miktarı]]/Table1[[#This Row],[Satış Miktarı]]</f>
        <v>1.1005692599620493E-2</v>
      </c>
      <c r="I404" t="s">
        <v>18</v>
      </c>
      <c r="J404">
        <v>35</v>
      </c>
      <c r="K404">
        <f>Table1[[#This Row],[Satış Miktarı]]*Table1[[#This Row],[Satış Fiyatı]]</f>
        <v>92225</v>
      </c>
      <c r="L404" t="s">
        <v>19</v>
      </c>
      <c r="M404" t="s">
        <v>30</v>
      </c>
      <c r="N404" t="s">
        <v>47</v>
      </c>
      <c r="O404">
        <v>0.2</v>
      </c>
      <c r="P404" t="s">
        <v>22</v>
      </c>
      <c r="Q404" t="s">
        <v>23</v>
      </c>
    </row>
    <row r="405" spans="1:17">
      <c r="A405">
        <v>920826362</v>
      </c>
      <c r="B405" t="s">
        <v>67</v>
      </c>
      <c r="C405" t="s">
        <v>17</v>
      </c>
      <c r="D405" s="1">
        <v>47815</v>
      </c>
      <c r="E405">
        <v>2299</v>
      </c>
      <c r="F405">
        <v>20</v>
      </c>
      <c r="G405" s="2">
        <v>8.6999999999999994E-3</v>
      </c>
      <c r="H405" s="2">
        <f>Table1[[#This Row],[İade Miktarı]]/Table1[[#This Row],[Satış Miktarı]]</f>
        <v>8.6994345367551115E-3</v>
      </c>
      <c r="I405" t="s">
        <v>18</v>
      </c>
      <c r="J405">
        <v>37</v>
      </c>
      <c r="K405">
        <f>Table1[[#This Row],[Satış Miktarı]]*Table1[[#This Row],[Satış Fiyatı]]</f>
        <v>85063</v>
      </c>
      <c r="L405" t="s">
        <v>19</v>
      </c>
      <c r="M405" t="s">
        <v>35</v>
      </c>
      <c r="N405" t="s">
        <v>26</v>
      </c>
      <c r="O405">
        <v>0.2</v>
      </c>
      <c r="P405" t="s">
        <v>22</v>
      </c>
      <c r="Q405" t="s">
        <v>53</v>
      </c>
    </row>
    <row r="406" spans="1:17">
      <c r="A406">
        <v>33427584</v>
      </c>
      <c r="B406" t="s">
        <v>70</v>
      </c>
      <c r="C406" t="s">
        <v>17</v>
      </c>
      <c r="D406" s="1">
        <v>48308</v>
      </c>
      <c r="E406">
        <v>4528</v>
      </c>
      <c r="F406">
        <v>46</v>
      </c>
      <c r="G406" s="2">
        <v>1.0200000000000001E-2</v>
      </c>
      <c r="H406" s="2">
        <f>Table1[[#This Row],[İade Miktarı]]/Table1[[#This Row],[Satış Miktarı]]</f>
        <v>1.0159010600706713E-2</v>
      </c>
      <c r="I406" t="s">
        <v>18</v>
      </c>
      <c r="J406">
        <v>41</v>
      </c>
      <c r="K406">
        <f>Table1[[#This Row],[Satış Miktarı]]*Table1[[#This Row],[Satış Fiyatı]]</f>
        <v>185648</v>
      </c>
      <c r="L406" t="s">
        <v>19</v>
      </c>
      <c r="M406" t="s">
        <v>38</v>
      </c>
      <c r="N406" t="s">
        <v>78</v>
      </c>
      <c r="O406">
        <v>0.2</v>
      </c>
      <c r="P406" t="s">
        <v>27</v>
      </c>
      <c r="Q406" t="s">
        <v>28</v>
      </c>
    </row>
    <row r="407" spans="1:17">
      <c r="A407">
        <v>54534382</v>
      </c>
      <c r="B407" t="s">
        <v>73</v>
      </c>
      <c r="C407" t="s">
        <v>17</v>
      </c>
      <c r="D407" s="1">
        <v>47599</v>
      </c>
      <c r="E407">
        <v>2365</v>
      </c>
      <c r="F407">
        <v>25</v>
      </c>
      <c r="G407" s="2">
        <v>1.06E-2</v>
      </c>
      <c r="H407" s="2">
        <f>Table1[[#This Row],[İade Miktarı]]/Table1[[#This Row],[Satış Miktarı]]</f>
        <v>1.0570824524312896E-2</v>
      </c>
      <c r="I407" t="s">
        <v>18</v>
      </c>
      <c r="J407">
        <v>34</v>
      </c>
      <c r="K407">
        <f>Table1[[#This Row],[Satış Miktarı]]*Table1[[#This Row],[Satış Fiyatı]]</f>
        <v>80410</v>
      </c>
      <c r="L407" t="s">
        <v>19</v>
      </c>
      <c r="M407" t="s">
        <v>42</v>
      </c>
      <c r="N407" t="s">
        <v>39</v>
      </c>
      <c r="O407">
        <v>0.2</v>
      </c>
      <c r="P407" t="s">
        <v>27</v>
      </c>
      <c r="Q407" t="s">
        <v>62</v>
      </c>
    </row>
    <row r="408" spans="1:17">
      <c r="A408">
        <v>153539830</v>
      </c>
      <c r="B408" t="s">
        <v>16</v>
      </c>
      <c r="C408" t="s">
        <v>17</v>
      </c>
      <c r="D408" s="1">
        <v>48041</v>
      </c>
      <c r="E408">
        <v>3919</v>
      </c>
      <c r="F408">
        <v>46</v>
      </c>
      <c r="G408" s="2">
        <v>1.17E-2</v>
      </c>
      <c r="H408" s="2">
        <f>Table1[[#This Row],[İade Miktarı]]/Table1[[#This Row],[Satış Miktarı]]</f>
        <v>1.1737688185761675E-2</v>
      </c>
      <c r="I408" t="s">
        <v>45</v>
      </c>
      <c r="J408">
        <v>43</v>
      </c>
      <c r="K408">
        <f>Table1[[#This Row],[Satış Miktarı]]*Table1[[#This Row],[Satış Fiyatı]]</f>
        <v>168517</v>
      </c>
      <c r="L408" t="s">
        <v>19</v>
      </c>
      <c r="M408" t="s">
        <v>46</v>
      </c>
      <c r="N408" t="s">
        <v>76</v>
      </c>
      <c r="O408">
        <v>0.2</v>
      </c>
      <c r="P408" t="s">
        <v>22</v>
      </c>
      <c r="Q408" t="s">
        <v>82</v>
      </c>
    </row>
    <row r="409" spans="1:17">
      <c r="A409">
        <v>513141817</v>
      </c>
      <c r="B409" t="s">
        <v>24</v>
      </c>
      <c r="C409" t="s">
        <v>17</v>
      </c>
      <c r="D409" s="1">
        <v>47533</v>
      </c>
      <c r="E409">
        <v>4250</v>
      </c>
      <c r="F409">
        <v>24</v>
      </c>
      <c r="G409" s="2">
        <v>5.5999999999999999E-3</v>
      </c>
      <c r="H409" s="2">
        <f>Table1[[#This Row],[İade Miktarı]]/Table1[[#This Row],[Satış Miktarı]]</f>
        <v>5.6470588235294121E-3</v>
      </c>
      <c r="I409" t="s">
        <v>81</v>
      </c>
      <c r="J409">
        <v>39</v>
      </c>
      <c r="K409">
        <f>Table1[[#This Row],[Satış Miktarı]]*Table1[[#This Row],[Satış Fiyatı]]</f>
        <v>165750</v>
      </c>
      <c r="L409" t="s">
        <v>19</v>
      </c>
      <c r="M409" t="s">
        <v>46</v>
      </c>
      <c r="N409" t="s">
        <v>39</v>
      </c>
      <c r="O409">
        <v>0.2</v>
      </c>
      <c r="P409" t="s">
        <v>22</v>
      </c>
      <c r="Q409" t="s">
        <v>75</v>
      </c>
    </row>
    <row r="410" spans="1:17">
      <c r="A410">
        <v>958515770</v>
      </c>
      <c r="B410" t="s">
        <v>29</v>
      </c>
      <c r="C410" t="s">
        <v>17</v>
      </c>
      <c r="D410" s="1">
        <v>47656</v>
      </c>
      <c r="E410">
        <v>3962</v>
      </c>
      <c r="F410">
        <v>15</v>
      </c>
      <c r="G410" s="2">
        <v>3.8E-3</v>
      </c>
      <c r="H410" s="2">
        <f>Table1[[#This Row],[İade Miktarı]]/Table1[[#This Row],[Satış Miktarı]]</f>
        <v>3.7859666834931852E-3</v>
      </c>
      <c r="I410" t="s">
        <v>18</v>
      </c>
      <c r="J410">
        <v>49</v>
      </c>
      <c r="K410">
        <f>Table1[[#This Row],[Satış Miktarı]]*Table1[[#This Row],[Satış Fiyatı]]</f>
        <v>194138</v>
      </c>
      <c r="L410" t="s">
        <v>19</v>
      </c>
      <c r="M410" t="s">
        <v>52</v>
      </c>
      <c r="N410" t="s">
        <v>61</v>
      </c>
      <c r="O410">
        <v>0.2</v>
      </c>
      <c r="P410" t="s">
        <v>22</v>
      </c>
      <c r="Q410" t="s">
        <v>79</v>
      </c>
    </row>
    <row r="411" spans="1:17">
      <c r="A411">
        <v>899388065</v>
      </c>
      <c r="B411" t="s">
        <v>33</v>
      </c>
      <c r="C411" t="s">
        <v>34</v>
      </c>
      <c r="D411" s="1">
        <v>48214</v>
      </c>
      <c r="E411">
        <v>3393</v>
      </c>
      <c r="F411">
        <v>31</v>
      </c>
      <c r="G411" s="2">
        <v>9.1000000000000004E-3</v>
      </c>
      <c r="H411" s="2">
        <f>Table1[[#This Row],[İade Miktarı]]/Table1[[#This Row],[Satış Miktarı]]</f>
        <v>9.1364574123194812E-3</v>
      </c>
      <c r="I411" t="s">
        <v>18</v>
      </c>
      <c r="J411">
        <v>47</v>
      </c>
      <c r="K411">
        <f>Table1[[#This Row],[Satış Miktarı]]*Table1[[#This Row],[Satış Fiyatı]]</f>
        <v>159471</v>
      </c>
      <c r="L411" t="s">
        <v>19</v>
      </c>
      <c r="M411" t="s">
        <v>55</v>
      </c>
      <c r="N411" t="s">
        <v>26</v>
      </c>
      <c r="O411">
        <v>0.2</v>
      </c>
      <c r="P411" t="s">
        <v>22</v>
      </c>
      <c r="Q411" t="s">
        <v>72</v>
      </c>
    </row>
    <row r="412" spans="1:17">
      <c r="A412">
        <v>634814089</v>
      </c>
      <c r="B412" t="s">
        <v>37</v>
      </c>
      <c r="C412" t="s">
        <v>34</v>
      </c>
      <c r="D412" s="1">
        <v>48086</v>
      </c>
      <c r="E412">
        <v>3144</v>
      </c>
      <c r="F412">
        <v>28</v>
      </c>
      <c r="G412" s="2">
        <v>8.8999999999999999E-3</v>
      </c>
      <c r="H412" s="2">
        <f>Table1[[#This Row],[İade Miktarı]]/Table1[[#This Row],[Satış Miktarı]]</f>
        <v>8.9058524173027988E-3</v>
      </c>
      <c r="I412" t="s">
        <v>45</v>
      </c>
      <c r="J412">
        <v>39</v>
      </c>
      <c r="K412">
        <f>Table1[[#This Row],[Satış Miktarı]]*Table1[[#This Row],[Satış Fiyatı]]</f>
        <v>122616</v>
      </c>
      <c r="L412" t="s">
        <v>19</v>
      </c>
      <c r="M412" t="s">
        <v>58</v>
      </c>
      <c r="N412" t="s">
        <v>65</v>
      </c>
      <c r="O412">
        <v>0.2</v>
      </c>
      <c r="P412" t="s">
        <v>27</v>
      </c>
      <c r="Q412" t="s">
        <v>77</v>
      </c>
    </row>
    <row r="413" spans="1:17">
      <c r="A413">
        <v>653046066</v>
      </c>
      <c r="B413" t="s">
        <v>41</v>
      </c>
      <c r="C413" t="s">
        <v>17</v>
      </c>
      <c r="D413" s="1">
        <v>48157</v>
      </c>
      <c r="E413">
        <v>3169</v>
      </c>
      <c r="F413">
        <v>48</v>
      </c>
      <c r="G413" s="2">
        <v>1.5100000000000001E-2</v>
      </c>
      <c r="H413" s="2">
        <f>Table1[[#This Row],[İade Miktarı]]/Table1[[#This Row],[Satış Miktarı]]</f>
        <v>1.5146733985484381E-2</v>
      </c>
      <c r="I413" t="s">
        <v>18</v>
      </c>
      <c r="J413">
        <v>49</v>
      </c>
      <c r="K413">
        <f>Table1[[#This Row],[Satış Miktarı]]*Table1[[#This Row],[Satış Fiyatı]]</f>
        <v>155281</v>
      </c>
      <c r="L413" t="s">
        <v>19</v>
      </c>
      <c r="M413" t="s">
        <v>60</v>
      </c>
      <c r="N413" t="s">
        <v>61</v>
      </c>
      <c r="O413">
        <v>0.2</v>
      </c>
      <c r="P413" t="s">
        <v>22</v>
      </c>
      <c r="Q413" t="s">
        <v>82</v>
      </c>
    </row>
    <row r="414" spans="1:17">
      <c r="A414">
        <v>13988356</v>
      </c>
      <c r="B414" t="s">
        <v>44</v>
      </c>
      <c r="C414" t="s">
        <v>17</v>
      </c>
      <c r="D414" s="1">
        <v>48510</v>
      </c>
      <c r="E414">
        <v>2680</v>
      </c>
      <c r="F414">
        <v>43</v>
      </c>
      <c r="G414" s="2">
        <v>1.6E-2</v>
      </c>
      <c r="H414" s="2">
        <f>Table1[[#This Row],[İade Miktarı]]/Table1[[#This Row],[Satış Miktarı]]</f>
        <v>1.6044776119402984E-2</v>
      </c>
      <c r="I414" t="s">
        <v>18</v>
      </c>
      <c r="J414">
        <v>49</v>
      </c>
      <c r="K414">
        <f>Table1[[#This Row],[Satış Miktarı]]*Table1[[#This Row],[Satış Fiyatı]]</f>
        <v>131320</v>
      </c>
      <c r="L414" t="s">
        <v>19</v>
      </c>
      <c r="M414" t="s">
        <v>64</v>
      </c>
      <c r="N414" t="s">
        <v>26</v>
      </c>
      <c r="O414">
        <v>0.2</v>
      </c>
      <c r="P414" t="s">
        <v>27</v>
      </c>
      <c r="Q414" t="s">
        <v>75</v>
      </c>
    </row>
    <row r="415" spans="1:17">
      <c r="A415">
        <v>491883478</v>
      </c>
      <c r="B415" t="s">
        <v>49</v>
      </c>
      <c r="C415" t="s">
        <v>34</v>
      </c>
      <c r="D415" s="1">
        <v>47754</v>
      </c>
      <c r="E415">
        <v>4442</v>
      </c>
      <c r="F415">
        <v>45</v>
      </c>
      <c r="G415" s="2">
        <v>1.01E-2</v>
      </c>
      <c r="H415" s="2">
        <f>Table1[[#This Row],[İade Miktarı]]/Table1[[#This Row],[Satış Miktarı]]</f>
        <v>1.0130571814497974E-2</v>
      </c>
      <c r="I415" t="s">
        <v>45</v>
      </c>
      <c r="J415">
        <v>47</v>
      </c>
      <c r="K415">
        <f>Table1[[#This Row],[Satış Miktarı]]*Table1[[#This Row],[Satış Fiyatı]]</f>
        <v>208774</v>
      </c>
      <c r="L415" t="s">
        <v>19</v>
      </c>
      <c r="M415" t="s">
        <v>68</v>
      </c>
      <c r="N415" t="s">
        <v>50</v>
      </c>
      <c r="O415">
        <v>0.2</v>
      </c>
      <c r="P415" t="s">
        <v>22</v>
      </c>
      <c r="Q415" t="s">
        <v>23</v>
      </c>
    </row>
    <row r="416" spans="1:17">
      <c r="A416">
        <v>302573945</v>
      </c>
      <c r="B416" t="s">
        <v>51</v>
      </c>
      <c r="C416" t="s">
        <v>17</v>
      </c>
      <c r="D416" s="1">
        <v>48234</v>
      </c>
      <c r="E416">
        <v>2337</v>
      </c>
      <c r="F416">
        <v>18</v>
      </c>
      <c r="G416" s="2">
        <v>7.7000000000000002E-3</v>
      </c>
      <c r="H416" s="2">
        <f>Table1[[#This Row],[İade Miktarı]]/Table1[[#This Row],[Satış Miktarı]]</f>
        <v>7.7021822849807449E-3</v>
      </c>
      <c r="I416" t="s">
        <v>18</v>
      </c>
      <c r="J416">
        <v>25</v>
      </c>
      <c r="K416">
        <f>Table1[[#This Row],[Satış Miktarı]]*Table1[[#This Row],[Satış Fiyatı]]</f>
        <v>58425</v>
      </c>
      <c r="L416" t="s">
        <v>19</v>
      </c>
      <c r="M416" t="s">
        <v>71</v>
      </c>
      <c r="N416" t="s">
        <v>61</v>
      </c>
      <c r="O416">
        <v>0.2</v>
      </c>
      <c r="P416" t="s">
        <v>22</v>
      </c>
      <c r="Q416" t="s">
        <v>69</v>
      </c>
    </row>
    <row r="417" spans="1:17">
      <c r="A417">
        <v>222851619</v>
      </c>
      <c r="B417" t="s">
        <v>54</v>
      </c>
      <c r="C417" t="s">
        <v>34</v>
      </c>
      <c r="D417" s="1">
        <v>48268</v>
      </c>
      <c r="E417">
        <v>3201</v>
      </c>
      <c r="F417">
        <v>16</v>
      </c>
      <c r="G417" s="2">
        <v>5.0000000000000001E-3</v>
      </c>
      <c r="H417" s="2">
        <f>Table1[[#This Row],[İade Miktarı]]/Table1[[#This Row],[Satış Miktarı]]</f>
        <v>4.9984379881287096E-3</v>
      </c>
      <c r="I417" t="s">
        <v>18</v>
      </c>
      <c r="J417">
        <v>42</v>
      </c>
      <c r="K417">
        <f>Table1[[#This Row],[Satış Miktarı]]*Table1[[#This Row],[Satış Fiyatı]]</f>
        <v>134442</v>
      </c>
      <c r="L417" t="s">
        <v>19</v>
      </c>
      <c r="M417" t="s">
        <v>74</v>
      </c>
      <c r="N417" t="s">
        <v>61</v>
      </c>
      <c r="O417">
        <v>0.2</v>
      </c>
      <c r="P417" t="s">
        <v>27</v>
      </c>
      <c r="Q417" t="s">
        <v>72</v>
      </c>
    </row>
    <row r="418" spans="1:17">
      <c r="A418">
        <v>653849314</v>
      </c>
      <c r="B418" t="s">
        <v>57</v>
      </c>
      <c r="C418" t="s">
        <v>34</v>
      </c>
      <c r="D418" s="1">
        <v>47715</v>
      </c>
      <c r="E418">
        <v>1631</v>
      </c>
      <c r="F418">
        <v>19</v>
      </c>
      <c r="G418" s="2">
        <v>1.1599999999999999E-2</v>
      </c>
      <c r="H418" s="2">
        <f>Table1[[#This Row],[İade Miktarı]]/Table1[[#This Row],[Satış Miktarı]]</f>
        <v>1.1649294911097487E-2</v>
      </c>
      <c r="I418" t="s">
        <v>18</v>
      </c>
      <c r="J418">
        <v>30</v>
      </c>
      <c r="K418">
        <f>Table1[[#This Row],[Satış Miktarı]]*Table1[[#This Row],[Satış Fiyatı]]</f>
        <v>48930</v>
      </c>
      <c r="L418" t="s">
        <v>19</v>
      </c>
      <c r="M418" t="s">
        <v>20</v>
      </c>
      <c r="N418" t="s">
        <v>47</v>
      </c>
      <c r="O418">
        <v>0.2</v>
      </c>
      <c r="P418" t="s">
        <v>22</v>
      </c>
      <c r="Q418" t="s">
        <v>28</v>
      </c>
    </row>
    <row r="419" spans="1:17">
      <c r="A419">
        <v>467315940</v>
      </c>
      <c r="B419" t="s">
        <v>59</v>
      </c>
      <c r="C419" t="s">
        <v>17</v>
      </c>
      <c r="D419" s="1">
        <v>48096</v>
      </c>
      <c r="E419">
        <v>3167</v>
      </c>
      <c r="F419">
        <v>38</v>
      </c>
      <c r="G419" s="2">
        <v>1.2E-2</v>
      </c>
      <c r="H419" s="2">
        <f>Table1[[#This Row],[İade Miktarı]]/Table1[[#This Row],[Satış Miktarı]]</f>
        <v>1.1998736975055258E-2</v>
      </c>
      <c r="I419" t="s">
        <v>18</v>
      </c>
      <c r="J419">
        <v>41</v>
      </c>
      <c r="K419">
        <f>Table1[[#This Row],[Satış Miktarı]]*Table1[[#This Row],[Satış Fiyatı]]</f>
        <v>129847</v>
      </c>
      <c r="L419" t="s">
        <v>19</v>
      </c>
      <c r="M419" t="s">
        <v>25</v>
      </c>
      <c r="N419" t="s">
        <v>50</v>
      </c>
      <c r="O419">
        <v>0.2</v>
      </c>
      <c r="P419" t="s">
        <v>22</v>
      </c>
      <c r="Q419" t="s">
        <v>83</v>
      </c>
    </row>
    <row r="420" spans="1:17">
      <c r="A420">
        <v>86558851</v>
      </c>
      <c r="B420" t="s">
        <v>63</v>
      </c>
      <c r="C420" t="s">
        <v>17</v>
      </c>
      <c r="D420" s="1">
        <v>48378</v>
      </c>
      <c r="E420">
        <v>3353</v>
      </c>
      <c r="F420">
        <v>36</v>
      </c>
      <c r="G420" s="2">
        <v>1.0699999999999999E-2</v>
      </c>
      <c r="H420" s="2">
        <f>Table1[[#This Row],[İade Miktarı]]/Table1[[#This Row],[Satış Miktarı]]</f>
        <v>1.0736653742916791E-2</v>
      </c>
      <c r="I420" t="s">
        <v>18</v>
      </c>
      <c r="J420">
        <v>36</v>
      </c>
      <c r="K420">
        <f>Table1[[#This Row],[Satış Miktarı]]*Table1[[#This Row],[Satış Fiyatı]]</f>
        <v>120708</v>
      </c>
      <c r="L420" t="s">
        <v>19</v>
      </c>
      <c r="M420" t="s">
        <v>30</v>
      </c>
      <c r="N420" t="s">
        <v>65</v>
      </c>
      <c r="O420">
        <v>0.2</v>
      </c>
      <c r="P420" t="s">
        <v>27</v>
      </c>
      <c r="Q420" t="s">
        <v>84</v>
      </c>
    </row>
    <row r="421" spans="1:17">
      <c r="A421">
        <v>647793679</v>
      </c>
      <c r="B421" t="s">
        <v>67</v>
      </c>
      <c r="C421" t="s">
        <v>17</v>
      </c>
      <c r="D421" s="1">
        <v>47540</v>
      </c>
      <c r="E421">
        <v>3525</v>
      </c>
      <c r="F421">
        <v>11</v>
      </c>
      <c r="G421" s="2">
        <v>3.0999999999999999E-3</v>
      </c>
      <c r="H421" s="2">
        <f>Table1[[#This Row],[İade Miktarı]]/Table1[[#This Row],[Satış Miktarı]]</f>
        <v>3.1205673758865249E-3</v>
      </c>
      <c r="I421" t="s">
        <v>18</v>
      </c>
      <c r="J421">
        <v>30</v>
      </c>
      <c r="K421">
        <f>Table1[[#This Row],[Satış Miktarı]]*Table1[[#This Row],[Satış Fiyatı]]</f>
        <v>105750</v>
      </c>
      <c r="L421" t="s">
        <v>19</v>
      </c>
      <c r="M421" t="s">
        <v>35</v>
      </c>
      <c r="N421" t="s">
        <v>31</v>
      </c>
      <c r="O421">
        <v>0.2</v>
      </c>
      <c r="P421" t="s">
        <v>22</v>
      </c>
      <c r="Q421" t="s">
        <v>83</v>
      </c>
    </row>
    <row r="422" spans="1:17">
      <c r="A422">
        <v>806350469</v>
      </c>
      <c r="B422" t="s">
        <v>70</v>
      </c>
      <c r="C422" t="s">
        <v>17</v>
      </c>
      <c r="D422" s="1">
        <v>47901</v>
      </c>
      <c r="E422">
        <v>1708</v>
      </c>
      <c r="F422">
        <v>31</v>
      </c>
      <c r="G422" s="2">
        <v>1.8100000000000002E-2</v>
      </c>
      <c r="H422" s="2">
        <f>Table1[[#This Row],[İade Miktarı]]/Table1[[#This Row],[Satış Miktarı]]</f>
        <v>1.8149882903981264E-2</v>
      </c>
      <c r="I422" t="s">
        <v>18</v>
      </c>
      <c r="J422">
        <v>39</v>
      </c>
      <c r="K422">
        <f>Table1[[#This Row],[Satış Miktarı]]*Table1[[#This Row],[Satış Fiyatı]]</f>
        <v>66612</v>
      </c>
      <c r="L422" t="s">
        <v>19</v>
      </c>
      <c r="M422" t="s">
        <v>38</v>
      </c>
      <c r="N422" t="s">
        <v>26</v>
      </c>
      <c r="O422">
        <v>0.2</v>
      </c>
      <c r="P422" t="s">
        <v>22</v>
      </c>
      <c r="Q422" t="s">
        <v>84</v>
      </c>
    </row>
    <row r="423" spans="1:17">
      <c r="A423">
        <v>661858154</v>
      </c>
      <c r="B423" t="s">
        <v>73</v>
      </c>
      <c r="C423" t="s">
        <v>17</v>
      </c>
      <c r="D423" s="1">
        <v>48141</v>
      </c>
      <c r="E423">
        <v>1084</v>
      </c>
      <c r="F423">
        <v>45</v>
      </c>
      <c r="G423" s="2">
        <v>4.1500000000000002E-2</v>
      </c>
      <c r="H423" s="2">
        <f>Table1[[#This Row],[İade Miktarı]]/Table1[[#This Row],[Satış Miktarı]]</f>
        <v>4.1512915129151291E-2</v>
      </c>
      <c r="I423" t="s">
        <v>18</v>
      </c>
      <c r="J423">
        <v>23</v>
      </c>
      <c r="K423">
        <f>Table1[[#This Row],[Satış Miktarı]]*Table1[[#This Row],[Satış Fiyatı]]</f>
        <v>24932</v>
      </c>
      <c r="L423" t="s">
        <v>19</v>
      </c>
      <c r="M423" t="s">
        <v>42</v>
      </c>
      <c r="N423" t="s">
        <v>43</v>
      </c>
      <c r="O423">
        <v>0.2</v>
      </c>
      <c r="P423" t="s">
        <v>27</v>
      </c>
      <c r="Q423" t="s">
        <v>32</v>
      </c>
    </row>
    <row r="424" spans="1:17">
      <c r="A424">
        <v>90782674</v>
      </c>
      <c r="B424" t="s">
        <v>16</v>
      </c>
      <c r="C424" t="s">
        <v>17</v>
      </c>
      <c r="D424" s="1">
        <v>48322</v>
      </c>
      <c r="E424">
        <v>1168</v>
      </c>
      <c r="F424">
        <v>23</v>
      </c>
      <c r="G424" s="2">
        <v>1.9699999999999999E-2</v>
      </c>
      <c r="H424" s="2">
        <f>Table1[[#This Row],[İade Miktarı]]/Table1[[#This Row],[Satış Miktarı]]</f>
        <v>1.9691780821917807E-2</v>
      </c>
      <c r="I424" t="s">
        <v>18</v>
      </c>
      <c r="J424">
        <v>26</v>
      </c>
      <c r="K424">
        <f>Table1[[#This Row],[Satış Miktarı]]*Table1[[#This Row],[Satış Fiyatı]]</f>
        <v>30368</v>
      </c>
      <c r="L424" t="s">
        <v>19</v>
      </c>
      <c r="M424" t="s">
        <v>46</v>
      </c>
      <c r="N424" t="s">
        <v>50</v>
      </c>
      <c r="O424">
        <v>0.2</v>
      </c>
      <c r="P424" t="s">
        <v>27</v>
      </c>
      <c r="Q424" t="s">
        <v>56</v>
      </c>
    </row>
    <row r="425" spans="1:17">
      <c r="A425">
        <v>288492273</v>
      </c>
      <c r="B425" t="s">
        <v>24</v>
      </c>
      <c r="C425" t="s">
        <v>17</v>
      </c>
      <c r="D425" s="1">
        <v>48252</v>
      </c>
      <c r="E425">
        <v>3273</v>
      </c>
      <c r="F425">
        <v>19</v>
      </c>
      <c r="G425" s="2">
        <v>5.7999999999999996E-3</v>
      </c>
      <c r="H425" s="2">
        <f>Table1[[#This Row],[İade Miktarı]]/Table1[[#This Row],[Satış Miktarı]]</f>
        <v>5.8050717995722576E-3</v>
      </c>
      <c r="I425" t="s">
        <v>18</v>
      </c>
      <c r="J425">
        <v>22</v>
      </c>
      <c r="K425">
        <f>Table1[[#This Row],[Satış Miktarı]]*Table1[[#This Row],[Satış Fiyatı]]</f>
        <v>72006</v>
      </c>
      <c r="L425" t="s">
        <v>19</v>
      </c>
      <c r="M425" t="s">
        <v>46</v>
      </c>
      <c r="N425" t="s">
        <v>76</v>
      </c>
      <c r="O425">
        <v>0.2</v>
      </c>
      <c r="P425" t="s">
        <v>27</v>
      </c>
      <c r="Q425" t="s">
        <v>62</v>
      </c>
    </row>
    <row r="426" spans="1:17">
      <c r="A426">
        <v>136800186</v>
      </c>
      <c r="B426" t="s">
        <v>29</v>
      </c>
      <c r="C426" t="s">
        <v>17</v>
      </c>
      <c r="D426" s="1">
        <v>47694</v>
      </c>
      <c r="E426">
        <v>1491</v>
      </c>
      <c r="F426">
        <v>10</v>
      </c>
      <c r="G426" s="2">
        <v>6.7000000000000002E-3</v>
      </c>
      <c r="H426" s="2">
        <f>Table1[[#This Row],[İade Miktarı]]/Table1[[#This Row],[Satış Miktarı]]</f>
        <v>6.7069081153588199E-3</v>
      </c>
      <c r="I426" t="s">
        <v>18</v>
      </c>
      <c r="J426">
        <v>23</v>
      </c>
      <c r="K426">
        <f>Table1[[#This Row],[Satış Miktarı]]*Table1[[#This Row],[Satış Fiyatı]]</f>
        <v>34293</v>
      </c>
      <c r="L426" t="s">
        <v>19</v>
      </c>
      <c r="M426" t="s">
        <v>52</v>
      </c>
      <c r="N426" t="s">
        <v>21</v>
      </c>
      <c r="O426">
        <v>0.2</v>
      </c>
      <c r="P426" t="s">
        <v>27</v>
      </c>
      <c r="Q426" t="s">
        <v>28</v>
      </c>
    </row>
    <row r="427" spans="1:17">
      <c r="A427">
        <v>351091524</v>
      </c>
      <c r="B427" t="s">
        <v>33</v>
      </c>
      <c r="C427" t="s">
        <v>34</v>
      </c>
      <c r="D427" s="1">
        <v>48052</v>
      </c>
      <c r="E427">
        <v>2437</v>
      </c>
      <c r="F427">
        <v>25</v>
      </c>
      <c r="G427" s="2">
        <v>1.03E-2</v>
      </c>
      <c r="H427" s="2">
        <f>Table1[[#This Row],[İade Miktarı]]/Table1[[#This Row],[Satış Miktarı]]</f>
        <v>1.0258514567090685E-2</v>
      </c>
      <c r="I427" t="s">
        <v>45</v>
      </c>
      <c r="J427">
        <v>33</v>
      </c>
      <c r="K427">
        <f>Table1[[#This Row],[Satış Miktarı]]*Table1[[#This Row],[Satış Fiyatı]]</f>
        <v>80421</v>
      </c>
      <c r="L427" t="s">
        <v>19</v>
      </c>
      <c r="M427" t="s">
        <v>55</v>
      </c>
      <c r="N427" t="s">
        <v>43</v>
      </c>
      <c r="O427">
        <v>0.2</v>
      </c>
      <c r="P427" t="s">
        <v>22</v>
      </c>
      <c r="Q427" t="s">
        <v>83</v>
      </c>
    </row>
    <row r="428" spans="1:17">
      <c r="A428">
        <v>454943575</v>
      </c>
      <c r="B428" t="s">
        <v>37</v>
      </c>
      <c r="C428" t="s">
        <v>34</v>
      </c>
      <c r="D428" s="1">
        <v>47745</v>
      </c>
      <c r="E428">
        <v>2240</v>
      </c>
      <c r="F428">
        <v>32</v>
      </c>
      <c r="G428" s="2">
        <v>1.43E-2</v>
      </c>
      <c r="H428" s="2">
        <f>Table1[[#This Row],[İade Miktarı]]/Table1[[#This Row],[Satış Miktarı]]</f>
        <v>1.4285714285714285E-2</v>
      </c>
      <c r="I428" t="s">
        <v>18</v>
      </c>
      <c r="J428">
        <v>45</v>
      </c>
      <c r="K428">
        <f>Table1[[#This Row],[Satış Miktarı]]*Table1[[#This Row],[Satış Fiyatı]]</f>
        <v>100800</v>
      </c>
      <c r="L428" t="s">
        <v>19</v>
      </c>
      <c r="M428" t="s">
        <v>58</v>
      </c>
      <c r="N428" t="s">
        <v>61</v>
      </c>
      <c r="O428">
        <v>0.2</v>
      </c>
      <c r="P428" t="s">
        <v>22</v>
      </c>
      <c r="Q428" t="s">
        <v>40</v>
      </c>
    </row>
    <row r="429" spans="1:17">
      <c r="A429">
        <v>617849231</v>
      </c>
      <c r="B429" t="s">
        <v>41</v>
      </c>
      <c r="C429" t="s">
        <v>17</v>
      </c>
      <c r="D429" s="1">
        <v>47836</v>
      </c>
      <c r="E429">
        <v>4576</v>
      </c>
      <c r="F429">
        <v>11</v>
      </c>
      <c r="G429" s="2">
        <v>2.3999999999999998E-3</v>
      </c>
      <c r="H429" s="2">
        <f>Table1[[#This Row],[İade Miktarı]]/Table1[[#This Row],[Satış Miktarı]]</f>
        <v>2.403846153846154E-3</v>
      </c>
      <c r="I429" t="s">
        <v>18</v>
      </c>
      <c r="J429">
        <v>36</v>
      </c>
      <c r="K429">
        <f>Table1[[#This Row],[Satış Miktarı]]*Table1[[#This Row],[Satış Fiyatı]]</f>
        <v>164736</v>
      </c>
      <c r="L429" t="s">
        <v>19</v>
      </c>
      <c r="M429" t="s">
        <v>60</v>
      </c>
      <c r="N429" t="s">
        <v>31</v>
      </c>
      <c r="O429">
        <v>0.2</v>
      </c>
      <c r="P429" t="s">
        <v>27</v>
      </c>
      <c r="Q429" t="s">
        <v>36</v>
      </c>
    </row>
    <row r="430" spans="1:17">
      <c r="A430">
        <v>821116751</v>
      </c>
      <c r="B430" t="s">
        <v>44</v>
      </c>
      <c r="C430" t="s">
        <v>17</v>
      </c>
      <c r="D430" s="1">
        <v>48095</v>
      </c>
      <c r="E430">
        <v>3047</v>
      </c>
      <c r="F430">
        <v>46</v>
      </c>
      <c r="G430" s="2">
        <v>1.5100000000000001E-2</v>
      </c>
      <c r="H430" s="2">
        <f>Table1[[#This Row],[İade Miktarı]]/Table1[[#This Row],[Satış Miktarı]]</f>
        <v>1.5096816540859863E-2</v>
      </c>
      <c r="I430" t="s">
        <v>18</v>
      </c>
      <c r="J430">
        <v>50</v>
      </c>
      <c r="K430">
        <f>Table1[[#This Row],[Satış Miktarı]]*Table1[[#This Row],[Satış Fiyatı]]</f>
        <v>152350</v>
      </c>
      <c r="L430" t="s">
        <v>19</v>
      </c>
      <c r="M430" t="s">
        <v>64</v>
      </c>
      <c r="N430" t="s">
        <v>65</v>
      </c>
      <c r="O430">
        <v>0.2</v>
      </c>
      <c r="P430" t="s">
        <v>27</v>
      </c>
      <c r="Q430" t="s">
        <v>84</v>
      </c>
    </row>
    <row r="431" spans="1:17">
      <c r="A431">
        <v>33303852</v>
      </c>
      <c r="B431" t="s">
        <v>49</v>
      </c>
      <c r="C431" t="s">
        <v>34</v>
      </c>
      <c r="D431" s="1">
        <v>48103</v>
      </c>
      <c r="E431">
        <v>2757</v>
      </c>
      <c r="F431">
        <v>37</v>
      </c>
      <c r="G431" s="2">
        <v>1.34E-2</v>
      </c>
      <c r="H431" s="2">
        <f>Table1[[#This Row],[İade Miktarı]]/Table1[[#This Row],[Satış Miktarı]]</f>
        <v>1.3420384475879579E-2</v>
      </c>
      <c r="I431" t="s">
        <v>18</v>
      </c>
      <c r="J431">
        <v>26</v>
      </c>
      <c r="K431">
        <f>Table1[[#This Row],[Satış Miktarı]]*Table1[[#This Row],[Satış Fiyatı]]</f>
        <v>71682</v>
      </c>
      <c r="L431" t="s">
        <v>19</v>
      </c>
      <c r="M431" t="s">
        <v>68</v>
      </c>
      <c r="N431" t="s">
        <v>21</v>
      </c>
      <c r="O431">
        <v>0.2</v>
      </c>
      <c r="P431" t="s">
        <v>27</v>
      </c>
      <c r="Q431" t="s">
        <v>40</v>
      </c>
    </row>
    <row r="432" spans="1:17">
      <c r="A432">
        <v>488819718</v>
      </c>
      <c r="B432" t="s">
        <v>51</v>
      </c>
      <c r="C432" t="s">
        <v>17</v>
      </c>
      <c r="D432" s="1">
        <v>48252</v>
      </c>
      <c r="E432">
        <v>4215</v>
      </c>
      <c r="F432">
        <v>45</v>
      </c>
      <c r="G432" s="2">
        <v>1.0699999999999999E-2</v>
      </c>
      <c r="H432" s="2">
        <f>Table1[[#This Row],[İade Miktarı]]/Table1[[#This Row],[Satış Miktarı]]</f>
        <v>1.0676156583629894E-2</v>
      </c>
      <c r="I432" t="s">
        <v>18</v>
      </c>
      <c r="J432">
        <v>41</v>
      </c>
      <c r="K432">
        <f>Table1[[#This Row],[Satış Miktarı]]*Table1[[#This Row],[Satış Fiyatı]]</f>
        <v>172815</v>
      </c>
      <c r="L432" t="s">
        <v>19</v>
      </c>
      <c r="M432" t="s">
        <v>71</v>
      </c>
      <c r="N432" t="s">
        <v>47</v>
      </c>
      <c r="O432">
        <v>0.2</v>
      </c>
      <c r="P432" t="s">
        <v>27</v>
      </c>
      <c r="Q432" t="s">
        <v>72</v>
      </c>
    </row>
    <row r="433" spans="1:17">
      <c r="A433">
        <v>37640480</v>
      </c>
      <c r="B433" t="s">
        <v>54</v>
      </c>
      <c r="C433" t="s">
        <v>34</v>
      </c>
      <c r="D433" s="1">
        <v>47658</v>
      </c>
      <c r="E433">
        <v>4447</v>
      </c>
      <c r="F433">
        <v>25</v>
      </c>
      <c r="G433" s="2">
        <v>5.5999999999999999E-3</v>
      </c>
      <c r="H433" s="2">
        <f>Table1[[#This Row],[İade Miktarı]]/Table1[[#This Row],[Satış Miktarı]]</f>
        <v>5.621767483696874E-3</v>
      </c>
      <c r="I433" t="s">
        <v>18</v>
      </c>
      <c r="J433">
        <v>27</v>
      </c>
      <c r="K433">
        <f>Table1[[#This Row],[Satış Miktarı]]*Table1[[#This Row],[Satış Fiyatı]]</f>
        <v>120069</v>
      </c>
      <c r="L433" t="s">
        <v>19</v>
      </c>
      <c r="M433" t="s">
        <v>74</v>
      </c>
      <c r="N433" t="s">
        <v>31</v>
      </c>
      <c r="O433">
        <v>0.2</v>
      </c>
      <c r="P433" t="s">
        <v>22</v>
      </c>
      <c r="Q433" t="s">
        <v>53</v>
      </c>
    </row>
    <row r="434" spans="1:17">
      <c r="A434">
        <v>598434825</v>
      </c>
      <c r="B434" t="s">
        <v>57</v>
      </c>
      <c r="C434" t="s">
        <v>34</v>
      </c>
      <c r="D434" s="1">
        <v>48190</v>
      </c>
      <c r="E434">
        <v>4912</v>
      </c>
      <c r="F434">
        <v>14</v>
      </c>
      <c r="G434" s="2">
        <v>2.8999999999999998E-3</v>
      </c>
      <c r="H434" s="2">
        <f>Table1[[#This Row],[İade Miktarı]]/Table1[[#This Row],[Satış Miktarı]]</f>
        <v>2.8501628664495114E-3</v>
      </c>
      <c r="I434" t="s">
        <v>18</v>
      </c>
      <c r="J434">
        <v>38</v>
      </c>
      <c r="K434">
        <f>Table1[[#This Row],[Satış Miktarı]]*Table1[[#This Row],[Satış Fiyatı]]</f>
        <v>186656</v>
      </c>
      <c r="L434" t="s">
        <v>19</v>
      </c>
      <c r="M434" t="s">
        <v>20</v>
      </c>
      <c r="N434" t="s">
        <v>78</v>
      </c>
      <c r="O434">
        <v>0.2</v>
      </c>
      <c r="P434" t="s">
        <v>22</v>
      </c>
      <c r="Q434" t="s">
        <v>36</v>
      </c>
    </row>
    <row r="435" spans="1:17">
      <c r="A435">
        <v>964424187</v>
      </c>
      <c r="B435" t="s">
        <v>59</v>
      </c>
      <c r="C435" t="s">
        <v>17</v>
      </c>
      <c r="D435" s="1">
        <v>48193</v>
      </c>
      <c r="E435">
        <v>3440</v>
      </c>
      <c r="F435">
        <v>19</v>
      </c>
      <c r="G435" s="2">
        <v>5.4999999999999997E-3</v>
      </c>
      <c r="H435" s="2">
        <f>Table1[[#This Row],[İade Miktarı]]/Table1[[#This Row],[Satış Miktarı]]</f>
        <v>5.5232558139534883E-3</v>
      </c>
      <c r="I435" t="s">
        <v>18</v>
      </c>
      <c r="J435">
        <v>43</v>
      </c>
      <c r="K435">
        <f>Table1[[#This Row],[Satış Miktarı]]*Table1[[#This Row],[Satış Fiyatı]]</f>
        <v>147920</v>
      </c>
      <c r="L435" t="s">
        <v>19</v>
      </c>
      <c r="M435" t="s">
        <v>25</v>
      </c>
      <c r="N435" t="s">
        <v>31</v>
      </c>
      <c r="O435">
        <v>0.2</v>
      </c>
      <c r="P435" t="s">
        <v>22</v>
      </c>
      <c r="Q435" t="s">
        <v>84</v>
      </c>
    </row>
    <row r="436" spans="1:17">
      <c r="A436">
        <v>375899569</v>
      </c>
      <c r="B436" t="s">
        <v>63</v>
      </c>
      <c r="C436" t="s">
        <v>17</v>
      </c>
      <c r="D436" s="1">
        <v>48104</v>
      </c>
      <c r="E436">
        <v>1708</v>
      </c>
      <c r="F436">
        <v>42</v>
      </c>
      <c r="G436" s="2">
        <v>2.46E-2</v>
      </c>
      <c r="H436" s="2">
        <f>Table1[[#This Row],[İade Miktarı]]/Table1[[#This Row],[Satış Miktarı]]</f>
        <v>2.4590163934426229E-2</v>
      </c>
      <c r="I436" t="s">
        <v>18</v>
      </c>
      <c r="J436">
        <v>31</v>
      </c>
      <c r="K436">
        <f>Table1[[#This Row],[Satış Miktarı]]*Table1[[#This Row],[Satış Fiyatı]]</f>
        <v>52948</v>
      </c>
      <c r="L436" t="s">
        <v>19</v>
      </c>
      <c r="M436" t="s">
        <v>30</v>
      </c>
      <c r="N436" t="s">
        <v>43</v>
      </c>
      <c r="O436">
        <v>0.2</v>
      </c>
      <c r="P436" t="s">
        <v>22</v>
      </c>
      <c r="Q436" t="s">
        <v>83</v>
      </c>
    </row>
    <row r="437" spans="1:17">
      <c r="A437">
        <v>222709871</v>
      </c>
      <c r="B437" t="s">
        <v>29</v>
      </c>
      <c r="C437" t="s">
        <v>17</v>
      </c>
      <c r="D437" s="1">
        <v>48473</v>
      </c>
      <c r="E437">
        <v>1353</v>
      </c>
      <c r="F437">
        <v>22</v>
      </c>
      <c r="G437" s="2">
        <v>1.6299999999999999E-2</v>
      </c>
      <c r="H437" s="2">
        <f>Table1[[#This Row],[İade Miktarı]]/Table1[[#This Row],[Satış Miktarı]]</f>
        <v>1.6260162601626018E-2</v>
      </c>
      <c r="I437" t="s">
        <v>18</v>
      </c>
      <c r="J437">
        <v>45</v>
      </c>
      <c r="K437">
        <f>Table1[[#This Row],[Satış Miktarı]]*Table1[[#This Row],[Satış Fiyatı]]</f>
        <v>60885</v>
      </c>
      <c r="L437" t="s">
        <v>19</v>
      </c>
      <c r="M437" t="s">
        <v>35</v>
      </c>
      <c r="N437" t="s">
        <v>21</v>
      </c>
      <c r="O437">
        <v>0.2</v>
      </c>
      <c r="P437" t="s">
        <v>27</v>
      </c>
      <c r="Q437" t="s">
        <v>82</v>
      </c>
    </row>
    <row r="438" spans="1:17">
      <c r="A438">
        <v>854738723</v>
      </c>
      <c r="B438" t="s">
        <v>33</v>
      </c>
      <c r="C438" t="s">
        <v>34</v>
      </c>
      <c r="D438" s="1">
        <v>47721</v>
      </c>
      <c r="E438">
        <v>3936</v>
      </c>
      <c r="F438">
        <v>25</v>
      </c>
      <c r="G438" s="2">
        <v>6.4000000000000003E-3</v>
      </c>
      <c r="H438" s="2">
        <f>Table1[[#This Row],[İade Miktarı]]/Table1[[#This Row],[Satış Miktarı]]</f>
        <v>6.3516260162601625E-3</v>
      </c>
      <c r="I438" t="s">
        <v>18</v>
      </c>
      <c r="J438">
        <v>42</v>
      </c>
      <c r="K438">
        <f>Table1[[#This Row],[Satış Miktarı]]*Table1[[#This Row],[Satış Fiyatı]]</f>
        <v>165312</v>
      </c>
      <c r="L438" t="s">
        <v>19</v>
      </c>
      <c r="M438" t="s">
        <v>38</v>
      </c>
      <c r="N438" t="s">
        <v>21</v>
      </c>
      <c r="O438">
        <v>0.2</v>
      </c>
      <c r="P438" t="s">
        <v>22</v>
      </c>
      <c r="Q438" t="s">
        <v>23</v>
      </c>
    </row>
    <row r="439" spans="1:17">
      <c r="A439">
        <v>904387163</v>
      </c>
      <c r="B439" t="s">
        <v>37</v>
      </c>
      <c r="C439" t="s">
        <v>34</v>
      </c>
      <c r="D439" s="1">
        <v>48545</v>
      </c>
      <c r="E439">
        <v>4631</v>
      </c>
      <c r="F439">
        <v>38</v>
      </c>
      <c r="G439" s="2">
        <v>8.2000000000000007E-3</v>
      </c>
      <c r="H439" s="2">
        <f>Table1[[#This Row],[İade Miktarı]]/Table1[[#This Row],[Satış Miktarı]]</f>
        <v>8.2055711509393219E-3</v>
      </c>
      <c r="I439" t="s">
        <v>45</v>
      </c>
      <c r="J439">
        <v>36</v>
      </c>
      <c r="K439">
        <f>Table1[[#This Row],[Satış Miktarı]]*Table1[[#This Row],[Satış Fiyatı]]</f>
        <v>166716</v>
      </c>
      <c r="L439" t="s">
        <v>19</v>
      </c>
      <c r="M439" t="s">
        <v>42</v>
      </c>
      <c r="N439" t="s">
        <v>61</v>
      </c>
      <c r="O439">
        <v>0.2</v>
      </c>
      <c r="P439" t="s">
        <v>22</v>
      </c>
      <c r="Q439" t="s">
        <v>48</v>
      </c>
    </row>
    <row r="440" spans="1:17">
      <c r="A440">
        <v>224061762</v>
      </c>
      <c r="B440" t="s">
        <v>41</v>
      </c>
      <c r="C440" t="s">
        <v>17</v>
      </c>
      <c r="D440" s="1">
        <v>47639</v>
      </c>
      <c r="E440">
        <v>2991</v>
      </c>
      <c r="F440">
        <v>36</v>
      </c>
      <c r="G440" s="2">
        <v>1.2E-2</v>
      </c>
      <c r="H440" s="2">
        <f>Table1[[#This Row],[İade Miktarı]]/Table1[[#This Row],[Satış Miktarı]]</f>
        <v>1.2036108324974924E-2</v>
      </c>
      <c r="I440" t="s">
        <v>18</v>
      </c>
      <c r="J440">
        <v>38</v>
      </c>
      <c r="K440">
        <f>Table1[[#This Row],[Satış Miktarı]]*Table1[[#This Row],[Satış Fiyatı]]</f>
        <v>113658</v>
      </c>
      <c r="L440" t="s">
        <v>19</v>
      </c>
      <c r="M440" t="s">
        <v>46</v>
      </c>
      <c r="N440" t="s">
        <v>50</v>
      </c>
      <c r="O440">
        <v>0.2</v>
      </c>
      <c r="P440" t="s">
        <v>27</v>
      </c>
      <c r="Q440" t="s">
        <v>79</v>
      </c>
    </row>
    <row r="441" spans="1:17">
      <c r="A441">
        <v>896791277</v>
      </c>
      <c r="B441" t="s">
        <v>44</v>
      </c>
      <c r="C441" t="s">
        <v>17</v>
      </c>
      <c r="D441" s="1">
        <v>48294</v>
      </c>
      <c r="E441">
        <v>2489</v>
      </c>
      <c r="F441">
        <v>45</v>
      </c>
      <c r="G441" s="2">
        <v>1.8100000000000002E-2</v>
      </c>
      <c r="H441" s="2">
        <f>Table1[[#This Row],[İade Miktarı]]/Table1[[#This Row],[Satış Miktarı]]</f>
        <v>1.8079550020088389E-2</v>
      </c>
      <c r="I441" t="s">
        <v>18</v>
      </c>
      <c r="J441">
        <v>29</v>
      </c>
      <c r="K441">
        <f>Table1[[#This Row],[Satış Miktarı]]*Table1[[#This Row],[Satış Fiyatı]]</f>
        <v>72181</v>
      </c>
      <c r="L441" t="s">
        <v>19</v>
      </c>
      <c r="M441" t="s">
        <v>46</v>
      </c>
      <c r="N441" t="s">
        <v>47</v>
      </c>
      <c r="O441">
        <v>0.2</v>
      </c>
      <c r="P441" t="s">
        <v>27</v>
      </c>
      <c r="Q441" t="s">
        <v>62</v>
      </c>
    </row>
    <row r="442" spans="1:17">
      <c r="A442">
        <v>958001141</v>
      </c>
      <c r="B442" t="s">
        <v>49</v>
      </c>
      <c r="C442" t="s">
        <v>34</v>
      </c>
      <c r="D442" s="1">
        <v>47698</v>
      </c>
      <c r="E442">
        <v>1459</v>
      </c>
      <c r="F442">
        <v>35</v>
      </c>
      <c r="G442" s="2">
        <v>2.4E-2</v>
      </c>
      <c r="H442" s="2">
        <f>Table1[[#This Row],[İade Miktarı]]/Table1[[#This Row],[Satış Miktarı]]</f>
        <v>2.3989033584647018E-2</v>
      </c>
      <c r="I442" t="s">
        <v>18</v>
      </c>
      <c r="J442">
        <v>38</v>
      </c>
      <c r="K442">
        <f>Table1[[#This Row],[Satış Miktarı]]*Table1[[#This Row],[Satış Fiyatı]]</f>
        <v>55442</v>
      </c>
      <c r="L442" t="s">
        <v>19</v>
      </c>
      <c r="M442" t="s">
        <v>52</v>
      </c>
      <c r="N442" t="s">
        <v>78</v>
      </c>
      <c r="O442">
        <v>0.2</v>
      </c>
      <c r="P442" t="s">
        <v>22</v>
      </c>
      <c r="Q442" t="s">
        <v>62</v>
      </c>
    </row>
    <row r="443" spans="1:17">
      <c r="A443">
        <v>799748866</v>
      </c>
      <c r="B443" t="s">
        <v>51</v>
      </c>
      <c r="C443" t="s">
        <v>17</v>
      </c>
      <c r="D443" s="1">
        <v>47855</v>
      </c>
      <c r="E443">
        <v>2156</v>
      </c>
      <c r="F443">
        <v>16</v>
      </c>
      <c r="G443" s="2">
        <v>7.4000000000000003E-3</v>
      </c>
      <c r="H443" s="2">
        <f>Table1[[#This Row],[İade Miktarı]]/Table1[[#This Row],[Satış Miktarı]]</f>
        <v>7.4211502782931356E-3</v>
      </c>
      <c r="I443" t="s">
        <v>18</v>
      </c>
      <c r="J443">
        <v>23</v>
      </c>
      <c r="K443">
        <f>Table1[[#This Row],[Satış Miktarı]]*Table1[[#This Row],[Satış Fiyatı]]</f>
        <v>49588</v>
      </c>
      <c r="L443" t="s">
        <v>19</v>
      </c>
      <c r="M443" t="s">
        <v>55</v>
      </c>
      <c r="N443" t="s">
        <v>78</v>
      </c>
      <c r="O443">
        <v>0.2</v>
      </c>
      <c r="P443" t="s">
        <v>27</v>
      </c>
      <c r="Q443" t="s">
        <v>83</v>
      </c>
    </row>
    <row r="444" spans="1:17">
      <c r="A444">
        <v>413415766</v>
      </c>
      <c r="B444" t="s">
        <v>54</v>
      </c>
      <c r="C444" t="s">
        <v>34</v>
      </c>
      <c r="D444" s="1">
        <v>47861</v>
      </c>
      <c r="E444">
        <v>2476</v>
      </c>
      <c r="F444">
        <v>43</v>
      </c>
      <c r="G444" s="2">
        <v>1.7399999999999999E-2</v>
      </c>
      <c r="H444" s="2">
        <f>Table1[[#This Row],[İade Miktarı]]/Table1[[#This Row],[Satış Miktarı]]</f>
        <v>1.7366720516962843E-2</v>
      </c>
      <c r="I444" t="s">
        <v>18</v>
      </c>
      <c r="J444">
        <v>50</v>
      </c>
      <c r="K444">
        <f>Table1[[#This Row],[Satış Miktarı]]*Table1[[#This Row],[Satış Fiyatı]]</f>
        <v>123800</v>
      </c>
      <c r="L444" t="s">
        <v>19</v>
      </c>
      <c r="M444" t="s">
        <v>58</v>
      </c>
      <c r="N444" t="s">
        <v>43</v>
      </c>
      <c r="O444">
        <v>0.2</v>
      </c>
      <c r="P444" t="s">
        <v>27</v>
      </c>
      <c r="Q444" t="s">
        <v>79</v>
      </c>
    </row>
    <row r="445" spans="1:17">
      <c r="A445">
        <v>208240097</v>
      </c>
      <c r="B445" t="s">
        <v>57</v>
      </c>
      <c r="C445" t="s">
        <v>34</v>
      </c>
      <c r="D445" s="1">
        <v>47928</v>
      </c>
      <c r="E445">
        <v>3489</v>
      </c>
      <c r="F445">
        <v>40</v>
      </c>
      <c r="G445" s="2">
        <v>1.15E-2</v>
      </c>
      <c r="H445" s="2">
        <f>Table1[[#This Row],[İade Miktarı]]/Table1[[#This Row],[Satış Miktarı]]</f>
        <v>1.1464603038119804E-2</v>
      </c>
      <c r="I445" t="s">
        <v>18</v>
      </c>
      <c r="J445">
        <v>45</v>
      </c>
      <c r="K445">
        <f>Table1[[#This Row],[Satış Miktarı]]*Table1[[#This Row],[Satış Fiyatı]]</f>
        <v>157005</v>
      </c>
      <c r="L445" t="s">
        <v>19</v>
      </c>
      <c r="M445" t="s">
        <v>60</v>
      </c>
      <c r="N445" t="s">
        <v>21</v>
      </c>
      <c r="O445">
        <v>0.2</v>
      </c>
      <c r="P445" t="s">
        <v>22</v>
      </c>
      <c r="Q445" t="s">
        <v>77</v>
      </c>
    </row>
    <row r="446" spans="1:17">
      <c r="A446">
        <v>507549842</v>
      </c>
      <c r="B446" t="s">
        <v>59</v>
      </c>
      <c r="C446" t="s">
        <v>17</v>
      </c>
      <c r="D446" s="1">
        <v>48350</v>
      </c>
      <c r="E446">
        <v>2896</v>
      </c>
      <c r="F446">
        <v>30</v>
      </c>
      <c r="G446" s="2">
        <v>1.04E-2</v>
      </c>
      <c r="H446" s="2">
        <f>Table1[[#This Row],[İade Miktarı]]/Table1[[#This Row],[Satış Miktarı]]</f>
        <v>1.0359116022099447E-2</v>
      </c>
      <c r="I446" t="s">
        <v>18</v>
      </c>
      <c r="J446">
        <v>27</v>
      </c>
      <c r="K446">
        <f>Table1[[#This Row],[Satış Miktarı]]*Table1[[#This Row],[Satış Fiyatı]]</f>
        <v>78192</v>
      </c>
      <c r="L446" t="s">
        <v>19</v>
      </c>
      <c r="M446" t="s">
        <v>64</v>
      </c>
      <c r="N446" t="s">
        <v>50</v>
      </c>
      <c r="O446">
        <v>0.2</v>
      </c>
      <c r="P446" t="s">
        <v>27</v>
      </c>
      <c r="Q446" t="s">
        <v>23</v>
      </c>
    </row>
    <row r="447" spans="1:17">
      <c r="A447">
        <v>244625643</v>
      </c>
      <c r="B447" t="s">
        <v>63</v>
      </c>
      <c r="C447" t="s">
        <v>17</v>
      </c>
      <c r="D447" s="1">
        <v>47860</v>
      </c>
      <c r="E447">
        <v>4369</v>
      </c>
      <c r="F447">
        <v>10</v>
      </c>
      <c r="G447" s="2">
        <v>2.3E-3</v>
      </c>
      <c r="H447" s="2">
        <f>Table1[[#This Row],[İade Miktarı]]/Table1[[#This Row],[Satış Miktarı]]</f>
        <v>2.2888532845044634E-3</v>
      </c>
      <c r="I447" t="s">
        <v>18</v>
      </c>
      <c r="J447">
        <v>43</v>
      </c>
      <c r="K447">
        <f>Table1[[#This Row],[Satış Miktarı]]*Table1[[#This Row],[Satış Fiyatı]]</f>
        <v>187867</v>
      </c>
      <c r="L447" t="s">
        <v>19</v>
      </c>
      <c r="M447" t="s">
        <v>68</v>
      </c>
      <c r="N447" t="s">
        <v>50</v>
      </c>
      <c r="O447">
        <v>0.2</v>
      </c>
      <c r="P447" t="s">
        <v>27</v>
      </c>
      <c r="Q447" t="s">
        <v>40</v>
      </c>
    </row>
    <row r="448" spans="1:17">
      <c r="A448">
        <v>666417313</v>
      </c>
      <c r="B448" t="s">
        <v>67</v>
      </c>
      <c r="C448" t="s">
        <v>17</v>
      </c>
      <c r="D448" s="1">
        <v>48048</v>
      </c>
      <c r="E448">
        <v>3899</v>
      </c>
      <c r="F448">
        <v>16</v>
      </c>
      <c r="G448" s="2">
        <v>4.1000000000000003E-3</v>
      </c>
      <c r="H448" s="2">
        <f>Table1[[#This Row],[İade Miktarı]]/Table1[[#This Row],[Satış Miktarı]]</f>
        <v>4.1036163118748394E-3</v>
      </c>
      <c r="I448" t="s">
        <v>18</v>
      </c>
      <c r="J448">
        <v>28</v>
      </c>
      <c r="K448">
        <f>Table1[[#This Row],[Satış Miktarı]]*Table1[[#This Row],[Satış Fiyatı]]</f>
        <v>109172</v>
      </c>
      <c r="L448" t="s">
        <v>19</v>
      </c>
      <c r="M448" t="s">
        <v>71</v>
      </c>
      <c r="N448" t="s">
        <v>26</v>
      </c>
      <c r="O448">
        <v>0.2</v>
      </c>
      <c r="P448" t="s">
        <v>22</v>
      </c>
      <c r="Q448" t="s">
        <v>72</v>
      </c>
    </row>
    <row r="449" spans="1:17">
      <c r="A449">
        <v>905162759</v>
      </c>
      <c r="B449" t="s">
        <v>70</v>
      </c>
      <c r="C449" t="s">
        <v>17</v>
      </c>
      <c r="D449" s="1">
        <v>48189</v>
      </c>
      <c r="E449">
        <v>1140</v>
      </c>
      <c r="F449">
        <v>20</v>
      </c>
      <c r="G449" s="2">
        <v>1.7500000000000002E-2</v>
      </c>
      <c r="H449" s="2">
        <f>Table1[[#This Row],[İade Miktarı]]/Table1[[#This Row],[Satış Miktarı]]</f>
        <v>1.7543859649122806E-2</v>
      </c>
      <c r="I449" t="s">
        <v>45</v>
      </c>
      <c r="J449">
        <v>41</v>
      </c>
      <c r="K449">
        <f>Table1[[#This Row],[Satış Miktarı]]*Table1[[#This Row],[Satış Fiyatı]]</f>
        <v>46740</v>
      </c>
      <c r="L449" t="s">
        <v>19</v>
      </c>
      <c r="M449" t="s">
        <v>74</v>
      </c>
      <c r="N449" t="s">
        <v>65</v>
      </c>
      <c r="O449">
        <v>0.2</v>
      </c>
      <c r="P449" t="s">
        <v>22</v>
      </c>
      <c r="Q449" t="s">
        <v>40</v>
      </c>
    </row>
    <row r="450" spans="1:17">
      <c r="A450">
        <v>61244217</v>
      </c>
      <c r="B450" t="s">
        <v>73</v>
      </c>
      <c r="C450" t="s">
        <v>17</v>
      </c>
      <c r="D450" s="1">
        <v>48438</v>
      </c>
      <c r="E450">
        <v>1877</v>
      </c>
      <c r="F450">
        <v>44</v>
      </c>
      <c r="G450" s="2">
        <v>2.3400000000000001E-2</v>
      </c>
      <c r="H450" s="2">
        <f>Table1[[#This Row],[İade Miktarı]]/Table1[[#This Row],[Satış Miktarı]]</f>
        <v>2.3441662226957913E-2</v>
      </c>
      <c r="I450" t="s">
        <v>18</v>
      </c>
      <c r="J450">
        <v>43</v>
      </c>
      <c r="K450">
        <f>Table1[[#This Row],[Satış Miktarı]]*Table1[[#This Row],[Satış Fiyatı]]</f>
        <v>80711</v>
      </c>
      <c r="L450" t="s">
        <v>19</v>
      </c>
      <c r="M450" t="s">
        <v>20</v>
      </c>
      <c r="N450" t="s">
        <v>47</v>
      </c>
      <c r="O450">
        <v>0.2</v>
      </c>
      <c r="P450" t="s">
        <v>22</v>
      </c>
      <c r="Q450" t="s">
        <v>40</v>
      </c>
    </row>
    <row r="451" spans="1:17">
      <c r="A451">
        <v>486605698</v>
      </c>
      <c r="B451" t="s">
        <v>16</v>
      </c>
      <c r="C451" t="s">
        <v>17</v>
      </c>
      <c r="D451" s="1">
        <v>48148</v>
      </c>
      <c r="E451">
        <v>4327</v>
      </c>
      <c r="F451">
        <v>47</v>
      </c>
      <c r="G451" s="2">
        <v>1.09E-2</v>
      </c>
      <c r="H451" s="2">
        <f>Table1[[#This Row],[İade Miktarı]]/Table1[[#This Row],[Satış Miktarı]]</f>
        <v>1.086202911948232E-2</v>
      </c>
      <c r="I451" t="s">
        <v>18</v>
      </c>
      <c r="J451">
        <v>49</v>
      </c>
      <c r="K451">
        <f>Table1[[#This Row],[Satış Miktarı]]*Table1[[#This Row],[Satış Fiyatı]]</f>
        <v>212023</v>
      </c>
      <c r="L451" t="s">
        <v>19</v>
      </c>
      <c r="M451" t="s">
        <v>25</v>
      </c>
      <c r="N451" t="s">
        <v>39</v>
      </c>
      <c r="O451">
        <v>0.2</v>
      </c>
      <c r="P451" t="s">
        <v>22</v>
      </c>
      <c r="Q451" t="s">
        <v>62</v>
      </c>
    </row>
    <row r="452" spans="1:17">
      <c r="A452">
        <v>266183812</v>
      </c>
      <c r="B452" t="s">
        <v>24</v>
      </c>
      <c r="C452" t="s">
        <v>17</v>
      </c>
      <c r="D452" s="1">
        <v>48422</v>
      </c>
      <c r="E452">
        <v>3429</v>
      </c>
      <c r="F452">
        <v>46</v>
      </c>
      <c r="G452" s="2">
        <v>1.34E-2</v>
      </c>
      <c r="H452" s="2">
        <f>Table1[[#This Row],[İade Miktarı]]/Table1[[#This Row],[Satış Miktarı]]</f>
        <v>1.3414989792942549E-2</v>
      </c>
      <c r="I452" t="s">
        <v>18</v>
      </c>
      <c r="J452">
        <v>41</v>
      </c>
      <c r="K452">
        <f>Table1[[#This Row],[Satış Miktarı]]*Table1[[#This Row],[Satış Fiyatı]]</f>
        <v>140589</v>
      </c>
      <c r="L452" t="s">
        <v>19</v>
      </c>
      <c r="M452" t="s">
        <v>30</v>
      </c>
      <c r="N452" t="s">
        <v>76</v>
      </c>
      <c r="O452">
        <v>0.2</v>
      </c>
      <c r="P452" t="s">
        <v>22</v>
      </c>
      <c r="Q452" t="s">
        <v>48</v>
      </c>
    </row>
    <row r="453" spans="1:17">
      <c r="A453">
        <v>417499108</v>
      </c>
      <c r="B453" t="s">
        <v>29</v>
      </c>
      <c r="C453" t="s">
        <v>17</v>
      </c>
      <c r="D453" s="1">
        <v>47643</v>
      </c>
      <c r="E453">
        <v>1434</v>
      </c>
      <c r="F453">
        <v>27</v>
      </c>
      <c r="G453" s="2">
        <v>1.8800000000000001E-2</v>
      </c>
      <c r="H453" s="2">
        <f>Table1[[#This Row],[İade Miktarı]]/Table1[[#This Row],[Satış Miktarı]]</f>
        <v>1.8828451882845189E-2</v>
      </c>
      <c r="I453" t="s">
        <v>18</v>
      </c>
      <c r="J453">
        <v>44</v>
      </c>
      <c r="K453">
        <f>Table1[[#This Row],[Satış Miktarı]]*Table1[[#This Row],[Satış Fiyatı]]</f>
        <v>63096</v>
      </c>
      <c r="L453" t="s">
        <v>19</v>
      </c>
      <c r="M453" t="s">
        <v>35</v>
      </c>
      <c r="N453" t="s">
        <v>21</v>
      </c>
      <c r="O453">
        <v>0.2</v>
      </c>
      <c r="P453" t="s">
        <v>22</v>
      </c>
      <c r="Q453" t="s">
        <v>75</v>
      </c>
    </row>
    <row r="454" spans="1:17">
      <c r="A454">
        <v>449913114</v>
      </c>
      <c r="B454" t="s">
        <v>33</v>
      </c>
      <c r="C454" t="s">
        <v>34</v>
      </c>
      <c r="D454" s="1">
        <v>48421</v>
      </c>
      <c r="E454">
        <v>4090</v>
      </c>
      <c r="F454">
        <v>23</v>
      </c>
      <c r="G454" s="2">
        <v>5.5999999999999999E-3</v>
      </c>
      <c r="H454" s="2">
        <f>Table1[[#This Row],[İade Miktarı]]/Table1[[#This Row],[Satış Miktarı]]</f>
        <v>5.623471882640587E-3</v>
      </c>
      <c r="I454" t="s">
        <v>18</v>
      </c>
      <c r="J454">
        <v>30</v>
      </c>
      <c r="K454">
        <f>Table1[[#This Row],[Satış Miktarı]]*Table1[[#This Row],[Satış Fiyatı]]</f>
        <v>122700</v>
      </c>
      <c r="L454" t="s">
        <v>19</v>
      </c>
      <c r="M454" t="s">
        <v>38</v>
      </c>
      <c r="N454" t="s">
        <v>47</v>
      </c>
      <c r="O454">
        <v>0.2</v>
      </c>
      <c r="P454" t="s">
        <v>27</v>
      </c>
      <c r="Q454" t="s">
        <v>82</v>
      </c>
    </row>
    <row r="455" spans="1:17">
      <c r="A455">
        <v>866530408</v>
      </c>
      <c r="B455" t="s">
        <v>37</v>
      </c>
      <c r="C455" t="s">
        <v>34</v>
      </c>
      <c r="D455" s="1">
        <v>48388</v>
      </c>
      <c r="E455">
        <v>1061</v>
      </c>
      <c r="F455">
        <v>22</v>
      </c>
      <c r="G455" s="2">
        <v>2.07E-2</v>
      </c>
      <c r="H455" s="2">
        <f>Table1[[#This Row],[İade Miktarı]]/Table1[[#This Row],[Satış Miktarı]]</f>
        <v>2.0735155513666354E-2</v>
      </c>
      <c r="I455" t="s">
        <v>45</v>
      </c>
      <c r="J455">
        <v>30</v>
      </c>
      <c r="K455">
        <f>Table1[[#This Row],[Satış Miktarı]]*Table1[[#This Row],[Satış Fiyatı]]</f>
        <v>31830</v>
      </c>
      <c r="L455" t="s">
        <v>19</v>
      </c>
      <c r="M455" t="s">
        <v>42</v>
      </c>
      <c r="N455" t="s">
        <v>26</v>
      </c>
      <c r="O455">
        <v>0.2</v>
      </c>
      <c r="P455" t="s">
        <v>22</v>
      </c>
      <c r="Q455" t="s">
        <v>66</v>
      </c>
    </row>
    <row r="456" spans="1:17">
      <c r="A456">
        <v>519868238</v>
      </c>
      <c r="B456" t="s">
        <v>41</v>
      </c>
      <c r="C456" t="s">
        <v>17</v>
      </c>
      <c r="D456" s="1">
        <v>47602</v>
      </c>
      <c r="E456">
        <v>1417</v>
      </c>
      <c r="F456">
        <v>44</v>
      </c>
      <c r="G456" s="2">
        <v>3.1099999999999999E-2</v>
      </c>
      <c r="H456" s="2">
        <f>Table1[[#This Row],[İade Miktarı]]/Table1[[#This Row],[Satış Miktarı]]</f>
        <v>3.1051517290049402E-2</v>
      </c>
      <c r="I456" t="s">
        <v>18</v>
      </c>
      <c r="J456">
        <v>47</v>
      </c>
      <c r="K456">
        <f>Table1[[#This Row],[Satış Miktarı]]*Table1[[#This Row],[Satış Fiyatı]]</f>
        <v>66599</v>
      </c>
      <c r="L456" t="s">
        <v>19</v>
      </c>
      <c r="M456" t="s">
        <v>46</v>
      </c>
      <c r="N456" t="s">
        <v>65</v>
      </c>
      <c r="O456">
        <v>0.2</v>
      </c>
      <c r="P456" t="s">
        <v>22</v>
      </c>
      <c r="Q456" t="s">
        <v>83</v>
      </c>
    </row>
    <row r="457" spans="1:17">
      <c r="A457">
        <v>344132631</v>
      </c>
      <c r="B457" t="s">
        <v>44</v>
      </c>
      <c r="C457" t="s">
        <v>17</v>
      </c>
      <c r="D457" s="1">
        <v>47959</v>
      </c>
      <c r="E457">
        <v>2398</v>
      </c>
      <c r="F457">
        <v>14</v>
      </c>
      <c r="G457" s="2">
        <v>5.7999999999999996E-3</v>
      </c>
      <c r="H457" s="2">
        <f>Table1[[#This Row],[İade Miktarı]]/Table1[[#This Row],[Satış Miktarı]]</f>
        <v>5.8381984987489572E-3</v>
      </c>
      <c r="I457" t="s">
        <v>18</v>
      </c>
      <c r="J457">
        <v>50</v>
      </c>
      <c r="K457">
        <f>Table1[[#This Row],[Satış Miktarı]]*Table1[[#This Row],[Satış Fiyatı]]</f>
        <v>119900</v>
      </c>
      <c r="L457" t="s">
        <v>19</v>
      </c>
      <c r="M457" t="s">
        <v>46</v>
      </c>
      <c r="N457" t="s">
        <v>39</v>
      </c>
      <c r="O457">
        <v>0.2</v>
      </c>
      <c r="P457" t="s">
        <v>27</v>
      </c>
      <c r="Q457" t="s">
        <v>82</v>
      </c>
    </row>
    <row r="458" spans="1:17">
      <c r="A458">
        <v>879182135</v>
      </c>
      <c r="B458" t="s">
        <v>49</v>
      </c>
      <c r="C458" t="s">
        <v>34</v>
      </c>
      <c r="D458" s="1">
        <v>47666</v>
      </c>
      <c r="E458">
        <v>1436</v>
      </c>
      <c r="F458">
        <v>40</v>
      </c>
      <c r="G458" s="2">
        <v>2.7900000000000001E-2</v>
      </c>
      <c r="H458" s="2">
        <f>Table1[[#This Row],[İade Miktarı]]/Table1[[#This Row],[Satış Miktarı]]</f>
        <v>2.7855153203342618E-2</v>
      </c>
      <c r="I458" t="s">
        <v>18</v>
      </c>
      <c r="J458">
        <v>36</v>
      </c>
      <c r="K458">
        <f>Table1[[#This Row],[Satış Miktarı]]*Table1[[#This Row],[Satış Fiyatı]]</f>
        <v>51696</v>
      </c>
      <c r="L458" t="s">
        <v>19</v>
      </c>
      <c r="M458" t="s">
        <v>52</v>
      </c>
      <c r="N458" t="s">
        <v>50</v>
      </c>
      <c r="O458">
        <v>0.2</v>
      </c>
      <c r="P458" t="s">
        <v>22</v>
      </c>
      <c r="Q458" t="s">
        <v>80</v>
      </c>
    </row>
    <row r="459" spans="1:17">
      <c r="A459">
        <v>568787359</v>
      </c>
      <c r="B459" t="s">
        <v>51</v>
      </c>
      <c r="C459" t="s">
        <v>17</v>
      </c>
      <c r="D459" s="1">
        <v>47925</v>
      </c>
      <c r="E459">
        <v>2306</v>
      </c>
      <c r="F459">
        <v>21</v>
      </c>
      <c r="G459" s="2">
        <v>9.1000000000000004E-3</v>
      </c>
      <c r="H459" s="2">
        <f>Table1[[#This Row],[İade Miktarı]]/Table1[[#This Row],[Satış Miktarı]]</f>
        <v>9.1066782307025144E-3</v>
      </c>
      <c r="I459" t="s">
        <v>18</v>
      </c>
      <c r="J459">
        <v>36</v>
      </c>
      <c r="K459">
        <f>Table1[[#This Row],[Satış Miktarı]]*Table1[[#This Row],[Satış Fiyatı]]</f>
        <v>83016</v>
      </c>
      <c r="L459" t="s">
        <v>19</v>
      </c>
      <c r="M459" t="s">
        <v>55</v>
      </c>
      <c r="N459" t="s">
        <v>31</v>
      </c>
      <c r="O459">
        <v>0.2</v>
      </c>
      <c r="P459" t="s">
        <v>22</v>
      </c>
      <c r="Q459" t="s">
        <v>69</v>
      </c>
    </row>
    <row r="460" spans="1:17">
      <c r="A460">
        <v>464033157</v>
      </c>
      <c r="B460" t="s">
        <v>54</v>
      </c>
      <c r="C460" t="s">
        <v>34</v>
      </c>
      <c r="D460" s="1">
        <v>47728</v>
      </c>
      <c r="E460">
        <v>4600</v>
      </c>
      <c r="F460">
        <v>48</v>
      </c>
      <c r="G460" s="2">
        <v>1.04E-2</v>
      </c>
      <c r="H460" s="2">
        <f>Table1[[#This Row],[İade Miktarı]]/Table1[[#This Row],[Satış Miktarı]]</f>
        <v>1.0434782608695653E-2</v>
      </c>
      <c r="I460" t="s">
        <v>18</v>
      </c>
      <c r="J460">
        <v>36</v>
      </c>
      <c r="K460">
        <f>Table1[[#This Row],[Satış Miktarı]]*Table1[[#This Row],[Satış Fiyatı]]</f>
        <v>165600</v>
      </c>
      <c r="L460" t="s">
        <v>19</v>
      </c>
      <c r="M460" t="s">
        <v>58</v>
      </c>
      <c r="N460" t="s">
        <v>65</v>
      </c>
      <c r="O460">
        <v>0.2</v>
      </c>
      <c r="P460" t="s">
        <v>22</v>
      </c>
      <c r="Q460" t="s">
        <v>56</v>
      </c>
    </row>
    <row r="461" spans="1:17">
      <c r="A461">
        <v>222757131</v>
      </c>
      <c r="B461" t="s">
        <v>57</v>
      </c>
      <c r="C461" t="s">
        <v>34</v>
      </c>
      <c r="D461" s="1">
        <v>48266</v>
      </c>
      <c r="E461">
        <v>4672</v>
      </c>
      <c r="F461">
        <v>10</v>
      </c>
      <c r="G461" s="2">
        <v>2.0999999999999999E-3</v>
      </c>
      <c r="H461" s="2">
        <f>Table1[[#This Row],[İade Miktarı]]/Table1[[#This Row],[Satış Miktarı]]</f>
        <v>2.1404109589041095E-3</v>
      </c>
      <c r="I461" t="s">
        <v>18</v>
      </c>
      <c r="J461">
        <v>37</v>
      </c>
      <c r="K461">
        <f>Table1[[#This Row],[Satış Miktarı]]*Table1[[#This Row],[Satış Fiyatı]]</f>
        <v>172864</v>
      </c>
      <c r="L461" t="s">
        <v>19</v>
      </c>
      <c r="M461" t="s">
        <v>60</v>
      </c>
      <c r="N461" t="s">
        <v>26</v>
      </c>
      <c r="O461">
        <v>0.2</v>
      </c>
      <c r="P461" t="s">
        <v>22</v>
      </c>
      <c r="Q461" t="s">
        <v>72</v>
      </c>
    </row>
    <row r="462" spans="1:17">
      <c r="A462">
        <v>678942118</v>
      </c>
      <c r="B462" t="s">
        <v>59</v>
      </c>
      <c r="C462" t="s">
        <v>17</v>
      </c>
      <c r="D462" s="1">
        <v>47776</v>
      </c>
      <c r="E462">
        <v>2336</v>
      </c>
      <c r="F462">
        <v>10</v>
      </c>
      <c r="G462" s="2">
        <v>4.3E-3</v>
      </c>
      <c r="H462" s="2">
        <f>Table1[[#This Row],[İade Miktarı]]/Table1[[#This Row],[Satış Miktarı]]</f>
        <v>4.2808219178082189E-3</v>
      </c>
      <c r="I462" t="s">
        <v>45</v>
      </c>
      <c r="J462">
        <v>26</v>
      </c>
      <c r="K462">
        <f>Table1[[#This Row],[Satış Miktarı]]*Table1[[#This Row],[Satış Fiyatı]]</f>
        <v>60736</v>
      </c>
      <c r="L462" t="s">
        <v>19</v>
      </c>
      <c r="M462" t="s">
        <v>64</v>
      </c>
      <c r="N462" t="s">
        <v>21</v>
      </c>
      <c r="O462">
        <v>0.2</v>
      </c>
      <c r="P462" t="s">
        <v>27</v>
      </c>
      <c r="Q462" t="s">
        <v>77</v>
      </c>
    </row>
    <row r="463" spans="1:17">
      <c r="A463">
        <v>641322587</v>
      </c>
      <c r="B463" t="s">
        <v>63</v>
      </c>
      <c r="C463" t="s">
        <v>17</v>
      </c>
      <c r="D463" s="1">
        <v>47964</v>
      </c>
      <c r="E463">
        <v>2312</v>
      </c>
      <c r="F463">
        <v>37</v>
      </c>
      <c r="G463" s="2">
        <v>1.6E-2</v>
      </c>
      <c r="H463" s="2">
        <f>Table1[[#This Row],[İade Miktarı]]/Table1[[#This Row],[Satış Miktarı]]</f>
        <v>1.6003460207612456E-2</v>
      </c>
      <c r="I463" t="s">
        <v>18</v>
      </c>
      <c r="J463">
        <v>22</v>
      </c>
      <c r="K463">
        <f>Table1[[#This Row],[Satış Miktarı]]*Table1[[#This Row],[Satış Fiyatı]]</f>
        <v>50864</v>
      </c>
      <c r="L463" t="s">
        <v>19</v>
      </c>
      <c r="M463" t="s">
        <v>68</v>
      </c>
      <c r="N463" t="s">
        <v>31</v>
      </c>
      <c r="O463">
        <v>0.2</v>
      </c>
      <c r="P463" t="s">
        <v>22</v>
      </c>
      <c r="Q463" t="s">
        <v>56</v>
      </c>
    </row>
    <row r="464" spans="1:17">
      <c r="A464">
        <v>405247412</v>
      </c>
      <c r="B464" t="s">
        <v>67</v>
      </c>
      <c r="C464" t="s">
        <v>17</v>
      </c>
      <c r="D464" s="1">
        <v>48123</v>
      </c>
      <c r="E464">
        <v>2574</v>
      </c>
      <c r="F464">
        <v>48</v>
      </c>
      <c r="G464" s="2">
        <v>1.8599999999999998E-2</v>
      </c>
      <c r="H464" s="2">
        <f>Table1[[#This Row],[İade Miktarı]]/Table1[[#This Row],[Satış Miktarı]]</f>
        <v>1.8648018648018648E-2</v>
      </c>
      <c r="I464" t="s">
        <v>18</v>
      </c>
      <c r="J464">
        <v>23</v>
      </c>
      <c r="K464">
        <f>Table1[[#This Row],[Satış Miktarı]]*Table1[[#This Row],[Satış Fiyatı]]</f>
        <v>59202</v>
      </c>
      <c r="L464" t="s">
        <v>19</v>
      </c>
      <c r="M464" t="s">
        <v>71</v>
      </c>
      <c r="N464" t="s">
        <v>78</v>
      </c>
      <c r="O464">
        <v>0.2</v>
      </c>
      <c r="P464" t="s">
        <v>22</v>
      </c>
      <c r="Q464" t="s">
        <v>82</v>
      </c>
    </row>
    <row r="465" spans="1:17">
      <c r="A465">
        <v>953792928</v>
      </c>
      <c r="B465" t="s">
        <v>70</v>
      </c>
      <c r="C465" t="s">
        <v>17</v>
      </c>
      <c r="D465" s="1">
        <v>47512</v>
      </c>
      <c r="E465">
        <v>2235</v>
      </c>
      <c r="F465">
        <v>23</v>
      </c>
      <c r="G465" s="2">
        <v>1.03E-2</v>
      </c>
      <c r="H465" s="2">
        <f>Table1[[#This Row],[İade Miktarı]]/Table1[[#This Row],[Satış Miktarı]]</f>
        <v>1.029082774049217E-2</v>
      </c>
      <c r="I465" t="s">
        <v>18</v>
      </c>
      <c r="J465">
        <v>20</v>
      </c>
      <c r="K465">
        <f>Table1[[#This Row],[Satış Miktarı]]*Table1[[#This Row],[Satış Fiyatı]]</f>
        <v>44700</v>
      </c>
      <c r="L465" t="s">
        <v>19</v>
      </c>
      <c r="M465" t="s">
        <v>74</v>
      </c>
      <c r="N465" t="s">
        <v>50</v>
      </c>
      <c r="O465">
        <v>0.2</v>
      </c>
      <c r="P465" t="s">
        <v>22</v>
      </c>
      <c r="Q465" t="s">
        <v>53</v>
      </c>
    </row>
    <row r="466" spans="1:17">
      <c r="A466">
        <v>930811068</v>
      </c>
      <c r="B466" t="s">
        <v>73</v>
      </c>
      <c r="C466" t="s">
        <v>17</v>
      </c>
      <c r="D466" s="1">
        <v>47616</v>
      </c>
      <c r="E466">
        <v>4045</v>
      </c>
      <c r="F466">
        <v>11</v>
      </c>
      <c r="G466" s="2">
        <v>2.7000000000000001E-3</v>
      </c>
      <c r="H466" s="2">
        <f>Table1[[#This Row],[İade Miktarı]]/Table1[[#This Row],[Satış Miktarı]]</f>
        <v>2.719406674907293E-3</v>
      </c>
      <c r="I466" t="s">
        <v>18</v>
      </c>
      <c r="J466">
        <v>28</v>
      </c>
      <c r="K466">
        <f>Table1[[#This Row],[Satış Miktarı]]*Table1[[#This Row],[Satış Fiyatı]]</f>
        <v>113260</v>
      </c>
      <c r="L466" t="s">
        <v>19</v>
      </c>
      <c r="M466" t="s">
        <v>20</v>
      </c>
      <c r="N466" t="s">
        <v>39</v>
      </c>
      <c r="O466">
        <v>0.2</v>
      </c>
      <c r="P466" t="s">
        <v>27</v>
      </c>
      <c r="Q466" t="s">
        <v>32</v>
      </c>
    </row>
    <row r="467" spans="1:17">
      <c r="A467">
        <v>391686909</v>
      </c>
      <c r="B467" t="s">
        <v>16</v>
      </c>
      <c r="C467" t="s">
        <v>17</v>
      </c>
      <c r="D467" s="1">
        <v>47635</v>
      </c>
      <c r="E467">
        <v>4678</v>
      </c>
      <c r="F467">
        <v>42</v>
      </c>
      <c r="G467" s="2">
        <v>8.9999999999999993E-3</v>
      </c>
      <c r="H467" s="2">
        <f>Table1[[#This Row],[İade Miktarı]]/Table1[[#This Row],[Satış Miktarı]]</f>
        <v>8.9781958101752893E-3</v>
      </c>
      <c r="I467" t="s">
        <v>18</v>
      </c>
      <c r="J467">
        <v>42</v>
      </c>
      <c r="K467">
        <f>Table1[[#This Row],[Satış Miktarı]]*Table1[[#This Row],[Satış Fiyatı]]</f>
        <v>196476</v>
      </c>
      <c r="L467" t="s">
        <v>19</v>
      </c>
      <c r="M467" t="s">
        <v>25</v>
      </c>
      <c r="N467" t="s">
        <v>31</v>
      </c>
      <c r="O467">
        <v>0.2</v>
      </c>
      <c r="P467" t="s">
        <v>22</v>
      </c>
      <c r="Q467" t="s">
        <v>72</v>
      </c>
    </row>
    <row r="468" spans="1:17">
      <c r="A468">
        <v>901495045</v>
      </c>
      <c r="B468" t="s">
        <v>24</v>
      </c>
      <c r="C468" t="s">
        <v>17</v>
      </c>
      <c r="D468" s="1">
        <v>47897</v>
      </c>
      <c r="E468">
        <v>4106</v>
      </c>
      <c r="F468">
        <v>44</v>
      </c>
      <c r="G468" s="2">
        <v>1.0699999999999999E-2</v>
      </c>
      <c r="H468" s="2">
        <f>Table1[[#This Row],[İade Miktarı]]/Table1[[#This Row],[Satış Miktarı]]</f>
        <v>1.071602532878714E-2</v>
      </c>
      <c r="I468" t="s">
        <v>18</v>
      </c>
      <c r="J468">
        <v>38</v>
      </c>
      <c r="K468">
        <f>Table1[[#This Row],[Satış Miktarı]]*Table1[[#This Row],[Satış Fiyatı]]</f>
        <v>156028</v>
      </c>
      <c r="L468" t="s">
        <v>19</v>
      </c>
      <c r="M468" t="s">
        <v>30</v>
      </c>
      <c r="N468" t="s">
        <v>65</v>
      </c>
      <c r="O468">
        <v>0.2</v>
      </c>
      <c r="P468" t="s">
        <v>27</v>
      </c>
      <c r="Q468" t="s">
        <v>79</v>
      </c>
    </row>
    <row r="469" spans="1:17">
      <c r="A469">
        <v>92601973</v>
      </c>
      <c r="B469" t="s">
        <v>29</v>
      </c>
      <c r="C469" t="s">
        <v>17</v>
      </c>
      <c r="D469" s="1">
        <v>47510</v>
      </c>
      <c r="E469">
        <v>2583</v>
      </c>
      <c r="F469">
        <v>19</v>
      </c>
      <c r="G469" s="2">
        <v>7.4000000000000003E-3</v>
      </c>
      <c r="H469" s="2">
        <f>Table1[[#This Row],[İade Miktarı]]/Table1[[#This Row],[Satış Miktarı]]</f>
        <v>7.3557878435927216E-3</v>
      </c>
      <c r="I469" t="s">
        <v>18</v>
      </c>
      <c r="J469">
        <v>40</v>
      </c>
      <c r="K469">
        <f>Table1[[#This Row],[Satış Miktarı]]*Table1[[#This Row],[Satış Fiyatı]]</f>
        <v>103320</v>
      </c>
      <c r="L469" t="s">
        <v>19</v>
      </c>
      <c r="M469" t="s">
        <v>35</v>
      </c>
      <c r="N469" t="s">
        <v>47</v>
      </c>
      <c r="O469">
        <v>0.2</v>
      </c>
      <c r="P469" t="s">
        <v>27</v>
      </c>
      <c r="Q469" t="s">
        <v>36</v>
      </c>
    </row>
    <row r="470" spans="1:17">
      <c r="A470">
        <v>876050770</v>
      </c>
      <c r="B470" t="s">
        <v>33</v>
      </c>
      <c r="C470" t="s">
        <v>34</v>
      </c>
      <c r="D470" s="1">
        <v>47992</v>
      </c>
      <c r="E470">
        <v>3247</v>
      </c>
      <c r="F470">
        <v>47</v>
      </c>
      <c r="G470" s="2">
        <v>1.4500000000000001E-2</v>
      </c>
      <c r="H470" s="2">
        <f>Table1[[#This Row],[İade Miktarı]]/Table1[[#This Row],[Satış Miktarı]]</f>
        <v>1.4474899907607022E-2</v>
      </c>
      <c r="I470" t="s">
        <v>18</v>
      </c>
      <c r="J470">
        <v>36</v>
      </c>
      <c r="K470">
        <f>Table1[[#This Row],[Satış Miktarı]]*Table1[[#This Row],[Satış Fiyatı]]</f>
        <v>116892</v>
      </c>
      <c r="L470" t="s">
        <v>19</v>
      </c>
      <c r="M470" t="s">
        <v>38</v>
      </c>
      <c r="N470" t="s">
        <v>26</v>
      </c>
      <c r="O470">
        <v>0.2</v>
      </c>
      <c r="P470" t="s">
        <v>22</v>
      </c>
      <c r="Q470" t="s">
        <v>66</v>
      </c>
    </row>
    <row r="471" spans="1:17">
      <c r="A471">
        <v>221497961</v>
      </c>
      <c r="B471" t="s">
        <v>37</v>
      </c>
      <c r="C471" t="s">
        <v>34</v>
      </c>
      <c r="D471" s="1">
        <v>47853</v>
      </c>
      <c r="E471">
        <v>3559</v>
      </c>
      <c r="F471">
        <v>41</v>
      </c>
      <c r="G471" s="2">
        <v>1.15E-2</v>
      </c>
      <c r="H471" s="2">
        <f>Table1[[#This Row],[İade Miktarı]]/Table1[[#This Row],[Satış Miktarı]]</f>
        <v>1.152008991289688E-2</v>
      </c>
      <c r="I471" t="s">
        <v>18</v>
      </c>
      <c r="J471">
        <v>40</v>
      </c>
      <c r="K471">
        <f>Table1[[#This Row],[Satış Miktarı]]*Table1[[#This Row],[Satış Fiyatı]]</f>
        <v>142360</v>
      </c>
      <c r="L471" t="s">
        <v>19</v>
      </c>
      <c r="M471" t="s">
        <v>42</v>
      </c>
      <c r="N471" t="s">
        <v>61</v>
      </c>
      <c r="O471">
        <v>0.2</v>
      </c>
      <c r="P471" t="s">
        <v>22</v>
      </c>
      <c r="Q471" t="s">
        <v>23</v>
      </c>
    </row>
    <row r="472" spans="1:17">
      <c r="A472">
        <v>422090717</v>
      </c>
      <c r="B472" t="s">
        <v>41</v>
      </c>
      <c r="C472" t="s">
        <v>17</v>
      </c>
      <c r="D472" s="1">
        <v>47892</v>
      </c>
      <c r="E472">
        <v>3994</v>
      </c>
      <c r="F472">
        <v>26</v>
      </c>
      <c r="G472" s="2">
        <v>6.4999999999999997E-3</v>
      </c>
      <c r="H472" s="2">
        <f>Table1[[#This Row],[İade Miktarı]]/Table1[[#This Row],[Satış Miktarı]]</f>
        <v>6.5097646469704559E-3</v>
      </c>
      <c r="I472" t="s">
        <v>18</v>
      </c>
      <c r="J472">
        <v>45</v>
      </c>
      <c r="K472">
        <f>Table1[[#This Row],[Satış Miktarı]]*Table1[[#This Row],[Satış Fiyatı]]</f>
        <v>179730</v>
      </c>
      <c r="L472" t="s">
        <v>19</v>
      </c>
      <c r="M472" t="s">
        <v>46</v>
      </c>
      <c r="N472" t="s">
        <v>50</v>
      </c>
      <c r="O472">
        <v>0.2</v>
      </c>
      <c r="P472" t="s">
        <v>22</v>
      </c>
      <c r="Q472" t="s">
        <v>56</v>
      </c>
    </row>
    <row r="473" spans="1:17">
      <c r="A473">
        <v>626629043</v>
      </c>
      <c r="B473" t="s">
        <v>44</v>
      </c>
      <c r="C473" t="s">
        <v>17</v>
      </c>
      <c r="D473" s="1">
        <v>47558</v>
      </c>
      <c r="E473">
        <v>2467</v>
      </c>
      <c r="F473">
        <v>17</v>
      </c>
      <c r="G473" s="2">
        <v>6.8999999999999999E-3</v>
      </c>
      <c r="H473" s="2">
        <f>Table1[[#This Row],[İade Miktarı]]/Table1[[#This Row],[Satış Miktarı]]</f>
        <v>6.8909606809890557E-3</v>
      </c>
      <c r="I473" t="s">
        <v>18</v>
      </c>
      <c r="J473">
        <v>35</v>
      </c>
      <c r="K473">
        <f>Table1[[#This Row],[Satış Miktarı]]*Table1[[#This Row],[Satış Fiyatı]]</f>
        <v>86345</v>
      </c>
      <c r="L473" t="s">
        <v>19</v>
      </c>
      <c r="M473" t="s">
        <v>46</v>
      </c>
      <c r="N473" t="s">
        <v>76</v>
      </c>
      <c r="O473">
        <v>0.2</v>
      </c>
      <c r="P473" t="s">
        <v>27</v>
      </c>
      <c r="Q473" t="s">
        <v>77</v>
      </c>
    </row>
    <row r="474" spans="1:17">
      <c r="A474">
        <v>854559162</v>
      </c>
      <c r="B474" t="s">
        <v>49</v>
      </c>
      <c r="C474" t="s">
        <v>34</v>
      </c>
      <c r="D474" s="1">
        <v>48385</v>
      </c>
      <c r="E474">
        <v>1828</v>
      </c>
      <c r="F474">
        <v>15</v>
      </c>
      <c r="G474" s="2">
        <v>8.2000000000000007E-3</v>
      </c>
      <c r="H474" s="2">
        <f>Table1[[#This Row],[İade Miktarı]]/Table1[[#This Row],[Satış Miktarı]]</f>
        <v>8.2056892778993428E-3</v>
      </c>
      <c r="I474" t="s">
        <v>18</v>
      </c>
      <c r="J474">
        <v>41</v>
      </c>
      <c r="K474">
        <f>Table1[[#This Row],[Satış Miktarı]]*Table1[[#This Row],[Satış Fiyatı]]</f>
        <v>74948</v>
      </c>
      <c r="L474" t="s">
        <v>19</v>
      </c>
      <c r="M474" t="s">
        <v>52</v>
      </c>
      <c r="N474" t="s">
        <v>78</v>
      </c>
      <c r="O474">
        <v>0.2</v>
      </c>
      <c r="P474" t="s">
        <v>22</v>
      </c>
      <c r="Q474" t="s">
        <v>53</v>
      </c>
    </row>
    <row r="475" spans="1:17">
      <c r="A475">
        <v>753171254</v>
      </c>
      <c r="B475" t="s">
        <v>51</v>
      </c>
      <c r="C475" t="s">
        <v>17</v>
      </c>
      <c r="D475" s="1">
        <v>48471</v>
      </c>
      <c r="E475">
        <v>2132</v>
      </c>
      <c r="F475">
        <v>18</v>
      </c>
      <c r="G475" s="2">
        <v>8.3999999999999995E-3</v>
      </c>
      <c r="H475" s="2">
        <f>Table1[[#This Row],[İade Miktarı]]/Table1[[#This Row],[Satış Miktarı]]</f>
        <v>8.4427767354596627E-3</v>
      </c>
      <c r="I475" t="s">
        <v>18</v>
      </c>
      <c r="J475">
        <v>47</v>
      </c>
      <c r="K475">
        <f>Table1[[#This Row],[Satış Miktarı]]*Table1[[#This Row],[Satış Fiyatı]]</f>
        <v>100204</v>
      </c>
      <c r="L475" t="s">
        <v>19</v>
      </c>
      <c r="M475" t="s">
        <v>55</v>
      </c>
      <c r="N475" t="s">
        <v>26</v>
      </c>
      <c r="O475">
        <v>0.2</v>
      </c>
      <c r="P475" t="s">
        <v>27</v>
      </c>
      <c r="Q475" t="s">
        <v>82</v>
      </c>
    </row>
    <row r="476" spans="1:17">
      <c r="A476">
        <v>317369305</v>
      </c>
      <c r="B476" t="s">
        <v>54</v>
      </c>
      <c r="C476" t="s">
        <v>34</v>
      </c>
      <c r="D476" s="1">
        <v>47587</v>
      </c>
      <c r="E476">
        <v>4297</v>
      </c>
      <c r="F476">
        <v>49</v>
      </c>
      <c r="G476" s="2">
        <v>1.14E-2</v>
      </c>
      <c r="H476" s="2">
        <f>Table1[[#This Row],[İade Miktarı]]/Table1[[#This Row],[Satış Miktarı]]</f>
        <v>1.1403304631138002E-2</v>
      </c>
      <c r="I476" t="s">
        <v>18</v>
      </c>
      <c r="J476">
        <v>36</v>
      </c>
      <c r="K476">
        <f>Table1[[#This Row],[Satış Miktarı]]*Table1[[#This Row],[Satış Fiyatı]]</f>
        <v>154692</v>
      </c>
      <c r="L476" t="s">
        <v>19</v>
      </c>
      <c r="M476" t="s">
        <v>58</v>
      </c>
      <c r="N476" t="s">
        <v>76</v>
      </c>
      <c r="O476">
        <v>0.2</v>
      </c>
      <c r="P476" t="s">
        <v>22</v>
      </c>
      <c r="Q476" t="s">
        <v>56</v>
      </c>
    </row>
    <row r="477" spans="1:17">
      <c r="A477">
        <v>677109582</v>
      </c>
      <c r="B477" t="s">
        <v>57</v>
      </c>
      <c r="C477" t="s">
        <v>34</v>
      </c>
      <c r="D477" s="1">
        <v>48145</v>
      </c>
      <c r="E477">
        <v>4537</v>
      </c>
      <c r="F477">
        <v>48</v>
      </c>
      <c r="G477" s="2">
        <v>1.06E-2</v>
      </c>
      <c r="H477" s="2">
        <f>Table1[[#This Row],[İade Miktarı]]/Table1[[#This Row],[Satış Miktarı]]</f>
        <v>1.0579678201454706E-2</v>
      </c>
      <c r="I477" t="s">
        <v>18</v>
      </c>
      <c r="J477">
        <v>35</v>
      </c>
      <c r="K477">
        <f>Table1[[#This Row],[Satış Miktarı]]*Table1[[#This Row],[Satış Fiyatı]]</f>
        <v>158795</v>
      </c>
      <c r="L477" t="s">
        <v>19</v>
      </c>
      <c r="M477" t="s">
        <v>60</v>
      </c>
      <c r="N477" t="s">
        <v>78</v>
      </c>
      <c r="O477">
        <v>0.2</v>
      </c>
      <c r="P477" t="s">
        <v>22</v>
      </c>
      <c r="Q477" t="s">
        <v>66</v>
      </c>
    </row>
    <row r="478" spans="1:17">
      <c r="A478">
        <v>526001079</v>
      </c>
      <c r="B478" t="s">
        <v>59</v>
      </c>
      <c r="C478" t="s">
        <v>17</v>
      </c>
      <c r="D478" s="1">
        <v>48131</v>
      </c>
      <c r="E478">
        <v>2411</v>
      </c>
      <c r="F478">
        <v>25</v>
      </c>
      <c r="G478" s="2">
        <v>1.04E-2</v>
      </c>
      <c r="H478" s="2">
        <f>Table1[[#This Row],[İade Miktarı]]/Table1[[#This Row],[Satış Miktarı]]</f>
        <v>1.0369141435089175E-2</v>
      </c>
      <c r="I478" t="s">
        <v>18</v>
      </c>
      <c r="J478">
        <v>20</v>
      </c>
      <c r="K478">
        <f>Table1[[#This Row],[Satış Miktarı]]*Table1[[#This Row],[Satış Fiyatı]]</f>
        <v>48220</v>
      </c>
      <c r="L478" t="s">
        <v>19</v>
      </c>
      <c r="M478" t="s">
        <v>64</v>
      </c>
      <c r="N478" t="s">
        <v>78</v>
      </c>
      <c r="O478">
        <v>0.2</v>
      </c>
      <c r="P478" t="s">
        <v>27</v>
      </c>
      <c r="Q478" t="s">
        <v>23</v>
      </c>
    </row>
    <row r="479" spans="1:17">
      <c r="A479">
        <v>503254489</v>
      </c>
      <c r="B479" t="s">
        <v>63</v>
      </c>
      <c r="C479" t="s">
        <v>17</v>
      </c>
      <c r="D479" s="1">
        <v>47680</v>
      </c>
      <c r="E479">
        <v>1364</v>
      </c>
      <c r="F479">
        <v>20</v>
      </c>
      <c r="G479" s="2">
        <v>1.47E-2</v>
      </c>
      <c r="H479" s="2">
        <f>Table1[[#This Row],[İade Miktarı]]/Table1[[#This Row],[Satış Miktarı]]</f>
        <v>1.466275659824047E-2</v>
      </c>
      <c r="I479" t="s">
        <v>18</v>
      </c>
      <c r="J479">
        <v>22</v>
      </c>
      <c r="K479">
        <f>Table1[[#This Row],[Satış Miktarı]]*Table1[[#This Row],[Satış Fiyatı]]</f>
        <v>30008</v>
      </c>
      <c r="L479" t="s">
        <v>19</v>
      </c>
      <c r="M479" t="s">
        <v>68</v>
      </c>
      <c r="N479" t="s">
        <v>65</v>
      </c>
      <c r="O479">
        <v>0.2</v>
      </c>
      <c r="P479" t="s">
        <v>22</v>
      </c>
      <c r="Q479" t="s">
        <v>48</v>
      </c>
    </row>
    <row r="480" spans="1:17">
      <c r="A480">
        <v>336643474</v>
      </c>
      <c r="B480" t="s">
        <v>29</v>
      </c>
      <c r="C480" t="s">
        <v>17</v>
      </c>
      <c r="D480" s="1">
        <v>48359</v>
      </c>
      <c r="E480">
        <v>3730</v>
      </c>
      <c r="F480">
        <v>22</v>
      </c>
      <c r="G480" s="2">
        <v>5.8999999999999999E-3</v>
      </c>
      <c r="H480" s="2">
        <f>Table1[[#This Row],[İade Miktarı]]/Table1[[#This Row],[Satış Miktarı]]</f>
        <v>5.8981233243967828E-3</v>
      </c>
      <c r="I480" t="s">
        <v>18</v>
      </c>
      <c r="J480">
        <v>39</v>
      </c>
      <c r="K480">
        <f>Table1[[#This Row],[Satış Miktarı]]*Table1[[#This Row],[Satış Fiyatı]]</f>
        <v>145470</v>
      </c>
      <c r="L480" t="s">
        <v>19</v>
      </c>
      <c r="M480" t="s">
        <v>71</v>
      </c>
      <c r="N480" t="s">
        <v>21</v>
      </c>
      <c r="O480">
        <v>0.2</v>
      </c>
      <c r="P480" t="s">
        <v>27</v>
      </c>
      <c r="Q480" t="s">
        <v>77</v>
      </c>
    </row>
    <row r="481" spans="1:17">
      <c r="A481">
        <v>788965174</v>
      </c>
      <c r="B481" t="s">
        <v>33</v>
      </c>
      <c r="C481" t="s">
        <v>34</v>
      </c>
      <c r="D481" s="1">
        <v>47683</v>
      </c>
      <c r="E481">
        <v>4230</v>
      </c>
      <c r="F481">
        <v>30</v>
      </c>
      <c r="G481" s="2">
        <v>7.1000000000000004E-3</v>
      </c>
      <c r="H481" s="2">
        <f>Table1[[#This Row],[İade Miktarı]]/Table1[[#This Row],[Satış Miktarı]]</f>
        <v>7.0921985815602835E-3</v>
      </c>
      <c r="I481" t="s">
        <v>18</v>
      </c>
      <c r="J481">
        <v>40</v>
      </c>
      <c r="K481">
        <f>Table1[[#This Row],[Satış Miktarı]]*Table1[[#This Row],[Satış Fiyatı]]</f>
        <v>169200</v>
      </c>
      <c r="L481" t="s">
        <v>19</v>
      </c>
      <c r="M481" t="s">
        <v>74</v>
      </c>
      <c r="N481" t="s">
        <v>47</v>
      </c>
      <c r="O481">
        <v>0.2</v>
      </c>
      <c r="P481" t="s">
        <v>22</v>
      </c>
      <c r="Q481" t="s">
        <v>66</v>
      </c>
    </row>
    <row r="482" spans="1:17">
      <c r="A482">
        <v>373055551</v>
      </c>
      <c r="B482" t="s">
        <v>37</v>
      </c>
      <c r="C482" t="s">
        <v>34</v>
      </c>
      <c r="D482" s="1">
        <v>48275</v>
      </c>
      <c r="E482">
        <v>3009</v>
      </c>
      <c r="F482">
        <v>33</v>
      </c>
      <c r="G482" s="2">
        <v>1.0999999999999999E-2</v>
      </c>
      <c r="H482" s="2">
        <f>Table1[[#This Row],[İade Miktarı]]/Table1[[#This Row],[Satış Miktarı]]</f>
        <v>1.0967098703888335E-2</v>
      </c>
      <c r="I482" t="s">
        <v>45</v>
      </c>
      <c r="J482">
        <v>41</v>
      </c>
      <c r="K482">
        <f>Table1[[#This Row],[Satış Miktarı]]*Table1[[#This Row],[Satış Fiyatı]]</f>
        <v>123369</v>
      </c>
      <c r="L482" t="s">
        <v>19</v>
      </c>
      <c r="M482" t="s">
        <v>20</v>
      </c>
      <c r="N482" t="s">
        <v>43</v>
      </c>
      <c r="O482">
        <v>0.2</v>
      </c>
      <c r="P482" t="s">
        <v>22</v>
      </c>
      <c r="Q482" t="s">
        <v>75</v>
      </c>
    </row>
    <row r="483" spans="1:17">
      <c r="A483">
        <v>547423623</v>
      </c>
      <c r="B483" t="s">
        <v>41</v>
      </c>
      <c r="C483" t="s">
        <v>17</v>
      </c>
      <c r="D483" s="1">
        <v>47872</v>
      </c>
      <c r="E483">
        <v>2994</v>
      </c>
      <c r="F483">
        <v>22</v>
      </c>
      <c r="G483" s="2">
        <v>7.3000000000000001E-3</v>
      </c>
      <c r="H483" s="2">
        <f>Table1[[#This Row],[İade Miktarı]]/Table1[[#This Row],[Satış Miktarı]]</f>
        <v>7.3480293921175683E-3</v>
      </c>
      <c r="I483" t="s">
        <v>18</v>
      </c>
      <c r="J483">
        <v>38</v>
      </c>
      <c r="K483">
        <f>Table1[[#This Row],[Satış Miktarı]]*Table1[[#This Row],[Satış Fiyatı]]</f>
        <v>113772</v>
      </c>
      <c r="L483" t="s">
        <v>19</v>
      </c>
      <c r="M483" t="s">
        <v>25</v>
      </c>
      <c r="N483" t="s">
        <v>65</v>
      </c>
      <c r="O483">
        <v>0.2</v>
      </c>
      <c r="P483" t="s">
        <v>27</v>
      </c>
      <c r="Q483" t="s">
        <v>80</v>
      </c>
    </row>
    <row r="484" spans="1:17">
      <c r="A484">
        <v>141008728</v>
      </c>
      <c r="B484" t="s">
        <v>44</v>
      </c>
      <c r="C484" t="s">
        <v>17</v>
      </c>
      <c r="D484" s="1">
        <v>48119</v>
      </c>
      <c r="E484">
        <v>3488</v>
      </c>
      <c r="F484">
        <v>21</v>
      </c>
      <c r="G484" s="2">
        <v>6.0000000000000001E-3</v>
      </c>
      <c r="H484" s="2">
        <f>Table1[[#This Row],[İade Miktarı]]/Table1[[#This Row],[Satış Miktarı]]</f>
        <v>6.0206422018348627E-3</v>
      </c>
      <c r="I484" t="s">
        <v>18</v>
      </c>
      <c r="J484">
        <v>47</v>
      </c>
      <c r="K484">
        <f>Table1[[#This Row],[Satış Miktarı]]*Table1[[#This Row],[Satış Fiyatı]]</f>
        <v>163936</v>
      </c>
      <c r="L484" t="s">
        <v>19</v>
      </c>
      <c r="M484" t="s">
        <v>30</v>
      </c>
      <c r="N484" t="s">
        <v>43</v>
      </c>
      <c r="O484">
        <v>0.2</v>
      </c>
      <c r="P484" t="s">
        <v>22</v>
      </c>
      <c r="Q484" t="s">
        <v>56</v>
      </c>
    </row>
    <row r="485" spans="1:17">
      <c r="A485">
        <v>139440887</v>
      </c>
      <c r="B485" t="s">
        <v>49</v>
      </c>
      <c r="C485" t="s">
        <v>34</v>
      </c>
      <c r="D485" s="1">
        <v>47694</v>
      </c>
      <c r="E485">
        <v>1995</v>
      </c>
      <c r="F485">
        <v>37</v>
      </c>
      <c r="G485" s="2">
        <v>1.8499999999999999E-2</v>
      </c>
      <c r="H485" s="2">
        <f>Table1[[#This Row],[İade Miktarı]]/Table1[[#This Row],[Satış Miktarı]]</f>
        <v>1.8546365914786967E-2</v>
      </c>
      <c r="I485" t="s">
        <v>18</v>
      </c>
      <c r="J485">
        <v>27</v>
      </c>
      <c r="K485">
        <f>Table1[[#This Row],[Satış Miktarı]]*Table1[[#This Row],[Satış Fiyatı]]</f>
        <v>53865</v>
      </c>
      <c r="L485" t="s">
        <v>19</v>
      </c>
      <c r="M485" t="s">
        <v>35</v>
      </c>
      <c r="N485" t="s">
        <v>76</v>
      </c>
      <c r="O485">
        <v>0.2</v>
      </c>
      <c r="P485" t="s">
        <v>27</v>
      </c>
      <c r="Q485" t="s">
        <v>23</v>
      </c>
    </row>
    <row r="486" spans="1:17">
      <c r="A486">
        <v>99391027</v>
      </c>
      <c r="B486" t="s">
        <v>51</v>
      </c>
      <c r="C486" t="s">
        <v>17</v>
      </c>
      <c r="D486" s="1">
        <v>48504</v>
      </c>
      <c r="E486">
        <v>1166</v>
      </c>
      <c r="F486">
        <v>27</v>
      </c>
      <c r="G486" s="2">
        <v>2.3199999999999998E-2</v>
      </c>
      <c r="H486" s="2">
        <f>Table1[[#This Row],[İade Miktarı]]/Table1[[#This Row],[Satış Miktarı]]</f>
        <v>2.3156089193825044E-2</v>
      </c>
      <c r="I486" t="s">
        <v>45</v>
      </c>
      <c r="J486">
        <v>20</v>
      </c>
      <c r="K486">
        <f>Table1[[#This Row],[Satış Miktarı]]*Table1[[#This Row],[Satış Fiyatı]]</f>
        <v>23320</v>
      </c>
      <c r="L486" t="s">
        <v>19</v>
      </c>
      <c r="M486" t="s">
        <v>38</v>
      </c>
      <c r="N486" t="s">
        <v>47</v>
      </c>
      <c r="O486">
        <v>0.2</v>
      </c>
      <c r="P486" t="s">
        <v>27</v>
      </c>
      <c r="Q486" t="s">
        <v>62</v>
      </c>
    </row>
    <row r="487" spans="1:17">
      <c r="A487">
        <v>692580597</v>
      </c>
      <c r="B487" t="s">
        <v>54</v>
      </c>
      <c r="C487" t="s">
        <v>34</v>
      </c>
      <c r="D487" s="1">
        <v>47787</v>
      </c>
      <c r="E487">
        <v>1440</v>
      </c>
      <c r="F487">
        <v>26</v>
      </c>
      <c r="G487" s="2">
        <v>1.8100000000000002E-2</v>
      </c>
      <c r="H487" s="2">
        <f>Table1[[#This Row],[İade Miktarı]]/Table1[[#This Row],[Satış Miktarı]]</f>
        <v>1.8055555555555554E-2</v>
      </c>
      <c r="I487" t="s">
        <v>18</v>
      </c>
      <c r="J487">
        <v>39</v>
      </c>
      <c r="K487">
        <f>Table1[[#This Row],[Satış Miktarı]]*Table1[[#This Row],[Satış Fiyatı]]</f>
        <v>56160</v>
      </c>
      <c r="L487" t="s">
        <v>19</v>
      </c>
      <c r="M487" t="s">
        <v>42</v>
      </c>
      <c r="N487" t="s">
        <v>61</v>
      </c>
      <c r="O487">
        <v>0.2</v>
      </c>
      <c r="P487" t="s">
        <v>22</v>
      </c>
      <c r="Q487" t="s">
        <v>77</v>
      </c>
    </row>
    <row r="488" spans="1:17">
      <c r="A488">
        <v>509927051</v>
      </c>
      <c r="B488" t="s">
        <v>57</v>
      </c>
      <c r="C488" t="s">
        <v>34</v>
      </c>
      <c r="D488" s="1">
        <v>48335</v>
      </c>
      <c r="E488">
        <v>2506</v>
      </c>
      <c r="F488">
        <v>25</v>
      </c>
      <c r="G488" s="2">
        <v>0.01</v>
      </c>
      <c r="H488" s="2">
        <f>Table1[[#This Row],[İade Miktarı]]/Table1[[#This Row],[Satış Miktarı]]</f>
        <v>9.9760574620909818E-3</v>
      </c>
      <c r="I488" t="s">
        <v>18</v>
      </c>
      <c r="J488">
        <v>20</v>
      </c>
      <c r="K488">
        <f>Table1[[#This Row],[Satış Miktarı]]*Table1[[#This Row],[Satış Fiyatı]]</f>
        <v>50120</v>
      </c>
      <c r="L488" t="s">
        <v>19</v>
      </c>
      <c r="M488" t="s">
        <v>46</v>
      </c>
      <c r="N488" t="s">
        <v>47</v>
      </c>
      <c r="O488">
        <v>0.2</v>
      </c>
      <c r="P488" t="s">
        <v>22</v>
      </c>
      <c r="Q488" t="s">
        <v>53</v>
      </c>
    </row>
    <row r="489" spans="1:17">
      <c r="A489">
        <v>905900914</v>
      </c>
      <c r="B489" t="s">
        <v>59</v>
      </c>
      <c r="C489" t="s">
        <v>17</v>
      </c>
      <c r="D489" s="1">
        <v>47984</v>
      </c>
      <c r="E489">
        <v>3440</v>
      </c>
      <c r="F489">
        <v>27</v>
      </c>
      <c r="G489" s="2">
        <v>7.7999999999999996E-3</v>
      </c>
      <c r="H489" s="2">
        <f>Table1[[#This Row],[İade Miktarı]]/Table1[[#This Row],[Satış Miktarı]]</f>
        <v>7.8488372093023263E-3</v>
      </c>
      <c r="I489" t="s">
        <v>18</v>
      </c>
      <c r="J489">
        <v>50</v>
      </c>
      <c r="K489">
        <f>Table1[[#This Row],[Satış Miktarı]]*Table1[[#This Row],[Satış Fiyatı]]</f>
        <v>172000</v>
      </c>
      <c r="L489" t="s">
        <v>19</v>
      </c>
      <c r="M489" t="s">
        <v>46</v>
      </c>
      <c r="N489" t="s">
        <v>39</v>
      </c>
      <c r="O489">
        <v>0.2</v>
      </c>
      <c r="P489" t="s">
        <v>27</v>
      </c>
      <c r="Q489" t="s">
        <v>23</v>
      </c>
    </row>
    <row r="490" spans="1:17">
      <c r="A490">
        <v>548533405</v>
      </c>
      <c r="B490" t="s">
        <v>63</v>
      </c>
      <c r="C490" t="s">
        <v>17</v>
      </c>
      <c r="D490" s="1">
        <v>47561</v>
      </c>
      <c r="E490">
        <v>1674</v>
      </c>
      <c r="F490">
        <v>27</v>
      </c>
      <c r="G490" s="2">
        <v>1.61E-2</v>
      </c>
      <c r="H490" s="2">
        <f>Table1[[#This Row],[İade Miktarı]]/Table1[[#This Row],[Satış Miktarı]]</f>
        <v>1.6129032258064516E-2</v>
      </c>
      <c r="I490" t="s">
        <v>18</v>
      </c>
      <c r="J490">
        <v>48</v>
      </c>
      <c r="K490">
        <f>Table1[[#This Row],[Satış Miktarı]]*Table1[[#This Row],[Satış Fiyatı]]</f>
        <v>80352</v>
      </c>
      <c r="L490" t="s">
        <v>19</v>
      </c>
      <c r="M490" t="s">
        <v>52</v>
      </c>
      <c r="N490" t="s">
        <v>21</v>
      </c>
      <c r="O490">
        <v>0.2</v>
      </c>
      <c r="P490" t="s">
        <v>27</v>
      </c>
      <c r="Q490" t="s">
        <v>36</v>
      </c>
    </row>
    <row r="491" spans="1:17">
      <c r="A491">
        <v>821569848</v>
      </c>
      <c r="B491" t="s">
        <v>67</v>
      </c>
      <c r="C491" t="s">
        <v>17</v>
      </c>
      <c r="D491" s="1">
        <v>47495</v>
      </c>
      <c r="E491">
        <v>3383</v>
      </c>
      <c r="F491">
        <v>44</v>
      </c>
      <c r="G491" s="2">
        <v>1.2999999999999999E-2</v>
      </c>
      <c r="H491" s="2">
        <f>Table1[[#This Row],[İade Miktarı]]/Table1[[#This Row],[Satış Miktarı]]</f>
        <v>1.300620750812888E-2</v>
      </c>
      <c r="I491" t="s">
        <v>18</v>
      </c>
      <c r="J491">
        <v>26</v>
      </c>
      <c r="K491">
        <f>Table1[[#This Row],[Satış Miktarı]]*Table1[[#This Row],[Satış Fiyatı]]</f>
        <v>87958</v>
      </c>
      <c r="L491" t="s">
        <v>19</v>
      </c>
      <c r="M491" t="s">
        <v>55</v>
      </c>
      <c r="N491" t="s">
        <v>61</v>
      </c>
      <c r="O491">
        <v>0.2</v>
      </c>
      <c r="P491" t="s">
        <v>27</v>
      </c>
      <c r="Q491" t="s">
        <v>82</v>
      </c>
    </row>
    <row r="492" spans="1:17">
      <c r="A492">
        <v>941943128</v>
      </c>
      <c r="B492" t="s">
        <v>70</v>
      </c>
      <c r="C492" t="s">
        <v>17</v>
      </c>
      <c r="D492" s="1">
        <v>48564</v>
      </c>
      <c r="E492">
        <v>3389</v>
      </c>
      <c r="F492">
        <v>36</v>
      </c>
      <c r="G492" s="2">
        <v>1.06E-2</v>
      </c>
      <c r="H492" s="2">
        <f>Table1[[#This Row],[İade Miktarı]]/Table1[[#This Row],[Satış Miktarı]]</f>
        <v>1.0622602537621718E-2</v>
      </c>
      <c r="I492" t="s">
        <v>18</v>
      </c>
      <c r="J492">
        <v>43</v>
      </c>
      <c r="K492">
        <f>Table1[[#This Row],[Satış Miktarı]]*Table1[[#This Row],[Satış Fiyatı]]</f>
        <v>145727</v>
      </c>
      <c r="L492" t="s">
        <v>19</v>
      </c>
      <c r="M492" t="s">
        <v>58</v>
      </c>
      <c r="N492" t="s">
        <v>21</v>
      </c>
      <c r="O492">
        <v>0.2</v>
      </c>
      <c r="P492" t="s">
        <v>22</v>
      </c>
      <c r="Q492" t="s">
        <v>84</v>
      </c>
    </row>
    <row r="493" spans="1:17">
      <c r="A493">
        <v>629408971</v>
      </c>
      <c r="B493" t="s">
        <v>73</v>
      </c>
      <c r="C493" t="s">
        <v>17</v>
      </c>
      <c r="D493" s="1">
        <v>48170</v>
      </c>
      <c r="E493">
        <v>2600</v>
      </c>
      <c r="F493">
        <v>33</v>
      </c>
      <c r="G493" s="2">
        <v>1.2699999999999999E-2</v>
      </c>
      <c r="H493" s="2">
        <f>Table1[[#This Row],[İade Miktarı]]/Table1[[#This Row],[Satış Miktarı]]</f>
        <v>1.2692307692307692E-2</v>
      </c>
      <c r="I493" t="s">
        <v>18</v>
      </c>
      <c r="J493">
        <v>47</v>
      </c>
      <c r="K493">
        <f>Table1[[#This Row],[Satış Miktarı]]*Table1[[#This Row],[Satış Fiyatı]]</f>
        <v>122200</v>
      </c>
      <c r="L493" t="s">
        <v>19</v>
      </c>
      <c r="M493" t="s">
        <v>60</v>
      </c>
      <c r="N493" t="s">
        <v>76</v>
      </c>
      <c r="O493">
        <v>0.2</v>
      </c>
      <c r="P493" t="s">
        <v>27</v>
      </c>
      <c r="Q493" t="s">
        <v>62</v>
      </c>
    </row>
    <row r="494" spans="1:17">
      <c r="A494">
        <v>872313864</v>
      </c>
      <c r="B494" t="s">
        <v>16</v>
      </c>
      <c r="C494" t="s">
        <v>17</v>
      </c>
      <c r="D494" s="1">
        <v>48352</v>
      </c>
      <c r="E494">
        <v>3371</v>
      </c>
      <c r="F494">
        <v>24</v>
      </c>
      <c r="G494" s="2">
        <v>7.1000000000000004E-3</v>
      </c>
      <c r="H494" s="2">
        <f>Table1[[#This Row],[İade Miktarı]]/Table1[[#This Row],[Satış Miktarı]]</f>
        <v>7.1195490952239695E-3</v>
      </c>
      <c r="I494" t="s">
        <v>45</v>
      </c>
      <c r="J494">
        <v>33</v>
      </c>
      <c r="K494">
        <f>Table1[[#This Row],[Satış Miktarı]]*Table1[[#This Row],[Satış Fiyatı]]</f>
        <v>111243</v>
      </c>
      <c r="L494" t="s">
        <v>19</v>
      </c>
      <c r="M494" t="s">
        <v>64</v>
      </c>
      <c r="N494" t="s">
        <v>31</v>
      </c>
      <c r="O494">
        <v>0.2</v>
      </c>
      <c r="P494" t="s">
        <v>22</v>
      </c>
      <c r="Q494" t="s">
        <v>84</v>
      </c>
    </row>
    <row r="495" spans="1:17">
      <c r="A495">
        <v>16078884</v>
      </c>
      <c r="B495" t="s">
        <v>24</v>
      </c>
      <c r="C495" t="s">
        <v>17</v>
      </c>
      <c r="D495" s="1">
        <v>48393</v>
      </c>
      <c r="E495">
        <v>3116</v>
      </c>
      <c r="F495">
        <v>41</v>
      </c>
      <c r="G495" s="2">
        <v>1.32E-2</v>
      </c>
      <c r="H495" s="2">
        <f>Table1[[#This Row],[İade Miktarı]]/Table1[[#This Row],[Satış Miktarı]]</f>
        <v>1.3157894736842105E-2</v>
      </c>
      <c r="I495" t="s">
        <v>18</v>
      </c>
      <c r="J495">
        <v>41</v>
      </c>
      <c r="K495">
        <f>Table1[[#This Row],[Satış Miktarı]]*Table1[[#This Row],[Satış Fiyatı]]</f>
        <v>127756</v>
      </c>
      <c r="L495" t="s">
        <v>19</v>
      </c>
      <c r="M495" t="s">
        <v>68</v>
      </c>
      <c r="N495" t="s">
        <v>76</v>
      </c>
      <c r="O495">
        <v>0.2</v>
      </c>
      <c r="P495" t="s">
        <v>22</v>
      </c>
      <c r="Q495" t="s">
        <v>56</v>
      </c>
    </row>
    <row r="496" spans="1:17">
      <c r="A496">
        <v>266165428</v>
      </c>
      <c r="B496" t="s">
        <v>29</v>
      </c>
      <c r="C496" t="s">
        <v>17</v>
      </c>
      <c r="D496" s="1">
        <v>47916</v>
      </c>
      <c r="E496">
        <v>4310</v>
      </c>
      <c r="F496">
        <v>12</v>
      </c>
      <c r="G496" s="2">
        <v>2.8E-3</v>
      </c>
      <c r="H496" s="2">
        <f>Table1[[#This Row],[İade Miktarı]]/Table1[[#This Row],[Satış Miktarı]]</f>
        <v>2.7842227378190253E-3</v>
      </c>
      <c r="I496" t="s">
        <v>18</v>
      </c>
      <c r="J496">
        <v>27</v>
      </c>
      <c r="K496">
        <f>Table1[[#This Row],[Satış Miktarı]]*Table1[[#This Row],[Satış Fiyatı]]</f>
        <v>116370</v>
      </c>
      <c r="L496" t="s">
        <v>19</v>
      </c>
      <c r="M496" t="s">
        <v>71</v>
      </c>
      <c r="N496" t="s">
        <v>43</v>
      </c>
      <c r="O496">
        <v>0.2</v>
      </c>
      <c r="P496" t="s">
        <v>22</v>
      </c>
      <c r="Q496" t="s">
        <v>79</v>
      </c>
    </row>
    <row r="497" spans="1:17">
      <c r="A497">
        <v>673138016</v>
      </c>
      <c r="B497" t="s">
        <v>33</v>
      </c>
      <c r="C497" t="s">
        <v>34</v>
      </c>
      <c r="D497" s="1">
        <v>47902</v>
      </c>
      <c r="E497">
        <v>3032</v>
      </c>
      <c r="F497">
        <v>49</v>
      </c>
      <c r="G497" s="2">
        <v>1.6199999999999999E-2</v>
      </c>
      <c r="H497" s="2">
        <f>Table1[[#This Row],[İade Miktarı]]/Table1[[#This Row],[Satış Miktarı]]</f>
        <v>1.6160949868073878E-2</v>
      </c>
      <c r="I497" t="s">
        <v>18</v>
      </c>
      <c r="J497">
        <v>35</v>
      </c>
      <c r="K497">
        <f>Table1[[#This Row],[Satış Miktarı]]*Table1[[#This Row],[Satış Fiyatı]]</f>
        <v>106120</v>
      </c>
      <c r="L497" t="s">
        <v>19</v>
      </c>
      <c r="M497" t="s">
        <v>74</v>
      </c>
      <c r="N497" t="s">
        <v>31</v>
      </c>
      <c r="O497">
        <v>0.2</v>
      </c>
      <c r="P497" t="s">
        <v>22</v>
      </c>
      <c r="Q497" t="s">
        <v>32</v>
      </c>
    </row>
    <row r="498" spans="1:17">
      <c r="A498">
        <v>590855812</v>
      </c>
      <c r="B498" t="s">
        <v>37</v>
      </c>
      <c r="C498" t="s">
        <v>34</v>
      </c>
      <c r="D498" s="1">
        <v>47553</v>
      </c>
      <c r="E498">
        <v>1523</v>
      </c>
      <c r="F498">
        <v>26</v>
      </c>
      <c r="G498" s="2">
        <v>1.7100000000000001E-2</v>
      </c>
      <c r="H498" s="2">
        <f>Table1[[#This Row],[İade Miktarı]]/Table1[[#This Row],[Satış Miktarı]]</f>
        <v>1.7071569271175313E-2</v>
      </c>
      <c r="I498" t="s">
        <v>18</v>
      </c>
      <c r="J498">
        <v>41</v>
      </c>
      <c r="K498">
        <f>Table1[[#This Row],[Satış Miktarı]]*Table1[[#This Row],[Satış Fiyatı]]</f>
        <v>62443</v>
      </c>
      <c r="L498" t="s">
        <v>19</v>
      </c>
      <c r="M498" t="s">
        <v>20</v>
      </c>
      <c r="N498" t="s">
        <v>78</v>
      </c>
      <c r="O498">
        <v>0.2</v>
      </c>
      <c r="P498" t="s">
        <v>22</v>
      </c>
      <c r="Q498" t="s">
        <v>32</v>
      </c>
    </row>
    <row r="499" spans="1:17">
      <c r="A499">
        <v>617361547</v>
      </c>
      <c r="B499" t="s">
        <v>41</v>
      </c>
      <c r="C499" t="s">
        <v>17</v>
      </c>
      <c r="D499" s="1">
        <v>47877</v>
      </c>
      <c r="E499">
        <v>2350</v>
      </c>
      <c r="F499">
        <v>25</v>
      </c>
      <c r="G499" s="2">
        <v>1.06E-2</v>
      </c>
      <c r="H499" s="2">
        <f>Table1[[#This Row],[İade Miktarı]]/Table1[[#This Row],[Satış Miktarı]]</f>
        <v>1.0638297872340425E-2</v>
      </c>
      <c r="I499" t="s">
        <v>18</v>
      </c>
      <c r="J499">
        <v>28</v>
      </c>
      <c r="K499">
        <f>Table1[[#This Row],[Satış Miktarı]]*Table1[[#This Row],[Satış Fiyatı]]</f>
        <v>65800</v>
      </c>
      <c r="L499" t="s">
        <v>19</v>
      </c>
      <c r="M499" t="s">
        <v>25</v>
      </c>
      <c r="N499" t="s">
        <v>31</v>
      </c>
      <c r="O499">
        <v>0.2</v>
      </c>
      <c r="P499" t="s">
        <v>27</v>
      </c>
      <c r="Q499" t="s">
        <v>32</v>
      </c>
    </row>
    <row r="500" spans="1:17">
      <c r="A500">
        <v>283641749</v>
      </c>
      <c r="B500" t="s">
        <v>44</v>
      </c>
      <c r="C500" t="s">
        <v>17</v>
      </c>
      <c r="D500" s="1">
        <v>47639</v>
      </c>
      <c r="E500">
        <v>3776</v>
      </c>
      <c r="F500">
        <v>42</v>
      </c>
      <c r="G500" s="2">
        <v>1.11E-2</v>
      </c>
      <c r="H500" s="2">
        <f>Table1[[#This Row],[İade Miktarı]]/Table1[[#This Row],[Satış Miktarı]]</f>
        <v>1.1122881355932203E-2</v>
      </c>
      <c r="I500" t="s">
        <v>18</v>
      </c>
      <c r="J500">
        <v>38</v>
      </c>
      <c r="K500">
        <f>Table1[[#This Row],[Satış Miktarı]]*Table1[[#This Row],[Satış Fiyatı]]</f>
        <v>143488</v>
      </c>
      <c r="L500" t="s">
        <v>19</v>
      </c>
      <c r="M500" t="s">
        <v>30</v>
      </c>
      <c r="N500" t="s">
        <v>61</v>
      </c>
      <c r="O500">
        <v>0.2</v>
      </c>
      <c r="P500" t="s">
        <v>27</v>
      </c>
      <c r="Q500" t="s">
        <v>36</v>
      </c>
    </row>
    <row r="501" spans="1:17">
      <c r="A501">
        <v>849900696</v>
      </c>
      <c r="B501" t="s">
        <v>49</v>
      </c>
      <c r="C501" t="s">
        <v>34</v>
      </c>
      <c r="D501" s="1">
        <v>48383</v>
      </c>
      <c r="E501">
        <v>3147</v>
      </c>
      <c r="F501">
        <v>31</v>
      </c>
      <c r="G501" s="2">
        <v>9.9000000000000008E-3</v>
      </c>
      <c r="H501" s="2">
        <f>Table1[[#This Row],[İade Miktarı]]/Table1[[#This Row],[Satış Miktarı]]</f>
        <v>9.850651414045123E-3</v>
      </c>
      <c r="I501" t="s">
        <v>18</v>
      </c>
      <c r="J501">
        <v>37</v>
      </c>
      <c r="K501">
        <f>Table1[[#This Row],[Satış Miktarı]]*Table1[[#This Row],[Satış Fiyatı]]</f>
        <v>116439</v>
      </c>
      <c r="L501" t="s">
        <v>19</v>
      </c>
      <c r="M501" t="s">
        <v>35</v>
      </c>
      <c r="N501" t="s">
        <v>78</v>
      </c>
      <c r="O501">
        <v>0.2</v>
      </c>
      <c r="P501" t="s">
        <v>27</v>
      </c>
      <c r="Q501" t="s">
        <v>75</v>
      </c>
    </row>
    <row r="502" spans="1:17">
      <c r="A502">
        <v>41632667</v>
      </c>
      <c r="B502" t="s">
        <v>51</v>
      </c>
      <c r="C502" t="s">
        <v>17</v>
      </c>
      <c r="D502" s="1">
        <v>48340</v>
      </c>
      <c r="E502">
        <v>2277</v>
      </c>
      <c r="F502">
        <v>48</v>
      </c>
      <c r="G502" s="2">
        <v>2.1100000000000001E-2</v>
      </c>
      <c r="H502" s="2">
        <f>Table1[[#This Row],[İade Miktarı]]/Table1[[#This Row],[Satış Miktarı]]</f>
        <v>2.1080368906455864E-2</v>
      </c>
      <c r="I502" t="s">
        <v>18</v>
      </c>
      <c r="J502">
        <v>30</v>
      </c>
      <c r="K502">
        <f>Table1[[#This Row],[Satış Miktarı]]*Table1[[#This Row],[Satış Fiyatı]]</f>
        <v>68310</v>
      </c>
      <c r="L502" t="s">
        <v>19</v>
      </c>
      <c r="M502" t="s">
        <v>38</v>
      </c>
      <c r="N502" t="s">
        <v>65</v>
      </c>
      <c r="O502">
        <v>0.2</v>
      </c>
      <c r="P502" t="s">
        <v>22</v>
      </c>
      <c r="Q502" t="s">
        <v>66</v>
      </c>
    </row>
    <row r="503" spans="1:17">
      <c r="A503">
        <v>445570921</v>
      </c>
      <c r="B503" t="s">
        <v>54</v>
      </c>
      <c r="C503" t="s">
        <v>34</v>
      </c>
      <c r="D503" s="1">
        <v>48572</v>
      </c>
      <c r="E503">
        <v>1802</v>
      </c>
      <c r="F503">
        <v>43</v>
      </c>
      <c r="G503" s="2">
        <v>2.3900000000000001E-2</v>
      </c>
      <c r="H503" s="2">
        <f>Table1[[#This Row],[İade Miktarı]]/Table1[[#This Row],[Satış Miktarı]]</f>
        <v>2.3862375138734741E-2</v>
      </c>
      <c r="I503" t="s">
        <v>18</v>
      </c>
      <c r="J503">
        <v>21</v>
      </c>
      <c r="K503">
        <f>Table1[[#This Row],[Satış Miktarı]]*Table1[[#This Row],[Satış Fiyatı]]</f>
        <v>37842</v>
      </c>
      <c r="L503" t="s">
        <v>19</v>
      </c>
      <c r="M503" t="s">
        <v>42</v>
      </c>
      <c r="N503" t="s">
        <v>26</v>
      </c>
      <c r="O503">
        <v>0.2</v>
      </c>
      <c r="P503" t="s">
        <v>27</v>
      </c>
      <c r="Q503" t="s">
        <v>23</v>
      </c>
    </row>
    <row r="504" spans="1:17">
      <c r="A504">
        <v>334478098</v>
      </c>
      <c r="B504" t="s">
        <v>57</v>
      </c>
      <c r="C504" t="s">
        <v>34</v>
      </c>
      <c r="D504" s="1">
        <v>47655</v>
      </c>
      <c r="E504">
        <v>3910</v>
      </c>
      <c r="F504">
        <v>32</v>
      </c>
      <c r="G504" s="2">
        <v>8.2000000000000007E-3</v>
      </c>
      <c r="H504" s="2">
        <f>Table1[[#This Row],[İade Miktarı]]/Table1[[#This Row],[Satış Miktarı]]</f>
        <v>8.1841432225063931E-3</v>
      </c>
      <c r="I504" t="s">
        <v>18</v>
      </c>
      <c r="J504">
        <v>38</v>
      </c>
      <c r="K504">
        <f>Table1[[#This Row],[Satış Miktarı]]*Table1[[#This Row],[Satış Fiyatı]]</f>
        <v>148580</v>
      </c>
      <c r="L504" t="s">
        <v>19</v>
      </c>
      <c r="M504" t="s">
        <v>46</v>
      </c>
      <c r="N504" t="s">
        <v>61</v>
      </c>
      <c r="O504">
        <v>0.2</v>
      </c>
      <c r="P504" t="s">
        <v>22</v>
      </c>
      <c r="Q504" t="s">
        <v>23</v>
      </c>
    </row>
    <row r="505" spans="1:17">
      <c r="A505">
        <v>189298396</v>
      </c>
      <c r="B505" t="s">
        <v>59</v>
      </c>
      <c r="C505" t="s">
        <v>17</v>
      </c>
      <c r="D505" s="1">
        <v>48498</v>
      </c>
      <c r="E505">
        <v>2234</v>
      </c>
      <c r="F505">
        <v>37</v>
      </c>
      <c r="G505" s="2">
        <v>1.66E-2</v>
      </c>
      <c r="H505" s="2">
        <f>Table1[[#This Row],[İade Miktarı]]/Table1[[#This Row],[Satış Miktarı]]</f>
        <v>1.656222023276634E-2</v>
      </c>
      <c r="I505" t="s">
        <v>45</v>
      </c>
      <c r="J505">
        <v>43</v>
      </c>
      <c r="K505">
        <f>Table1[[#This Row],[Satış Miktarı]]*Table1[[#This Row],[Satış Fiyatı]]</f>
        <v>96062</v>
      </c>
      <c r="L505" t="s">
        <v>19</v>
      </c>
      <c r="M505" t="s">
        <v>46</v>
      </c>
      <c r="N505" t="s">
        <v>78</v>
      </c>
      <c r="O505">
        <v>0.2</v>
      </c>
      <c r="P505" t="s">
        <v>22</v>
      </c>
      <c r="Q505" t="s">
        <v>53</v>
      </c>
    </row>
    <row r="506" spans="1:17">
      <c r="A506">
        <v>634825221</v>
      </c>
      <c r="B506" t="s">
        <v>63</v>
      </c>
      <c r="C506" t="s">
        <v>17</v>
      </c>
      <c r="D506" s="1">
        <v>48185</v>
      </c>
      <c r="E506">
        <v>2671</v>
      </c>
      <c r="F506">
        <v>43</v>
      </c>
      <c r="G506" s="2">
        <v>1.61E-2</v>
      </c>
      <c r="H506" s="2">
        <f>Table1[[#This Row],[İade Miktarı]]/Table1[[#This Row],[Satış Miktarı]]</f>
        <v>1.6098839385997755E-2</v>
      </c>
      <c r="I506" t="s">
        <v>18</v>
      </c>
      <c r="J506">
        <v>40</v>
      </c>
      <c r="K506">
        <f>Table1[[#This Row],[Satış Miktarı]]*Table1[[#This Row],[Satış Fiyatı]]</f>
        <v>106840</v>
      </c>
      <c r="L506" t="s">
        <v>19</v>
      </c>
      <c r="M506" t="s">
        <v>52</v>
      </c>
      <c r="N506" t="s">
        <v>43</v>
      </c>
      <c r="O506">
        <v>0.2</v>
      </c>
      <c r="P506" t="s">
        <v>27</v>
      </c>
      <c r="Q506" t="s">
        <v>84</v>
      </c>
    </row>
    <row r="507" spans="1:17">
      <c r="A507">
        <v>184698699</v>
      </c>
      <c r="B507" t="s">
        <v>67</v>
      </c>
      <c r="C507" t="s">
        <v>17</v>
      </c>
      <c r="D507" s="1">
        <v>48158</v>
      </c>
      <c r="E507">
        <v>4135</v>
      </c>
      <c r="F507">
        <v>35</v>
      </c>
      <c r="G507" s="2">
        <v>8.5000000000000006E-3</v>
      </c>
      <c r="H507" s="2">
        <f>Table1[[#This Row],[İade Miktarı]]/Table1[[#This Row],[Satış Miktarı]]</f>
        <v>8.4643288996372433E-3</v>
      </c>
      <c r="I507" t="s">
        <v>18</v>
      </c>
      <c r="J507">
        <v>45</v>
      </c>
      <c r="K507">
        <f>Table1[[#This Row],[Satış Miktarı]]*Table1[[#This Row],[Satış Fiyatı]]</f>
        <v>186075</v>
      </c>
      <c r="L507" t="s">
        <v>19</v>
      </c>
      <c r="M507" t="s">
        <v>55</v>
      </c>
      <c r="N507" t="s">
        <v>65</v>
      </c>
      <c r="O507">
        <v>0.2</v>
      </c>
      <c r="P507" t="s">
        <v>27</v>
      </c>
      <c r="Q507" t="s">
        <v>23</v>
      </c>
    </row>
    <row r="508" spans="1:17">
      <c r="A508">
        <v>291072606</v>
      </c>
      <c r="B508" t="s">
        <v>70</v>
      </c>
      <c r="C508" t="s">
        <v>17</v>
      </c>
      <c r="D508" s="1">
        <v>48500</v>
      </c>
      <c r="E508">
        <v>4549</v>
      </c>
      <c r="F508">
        <v>14</v>
      </c>
      <c r="G508" s="2">
        <v>3.0999999999999999E-3</v>
      </c>
      <c r="H508" s="2">
        <f>Table1[[#This Row],[İade Miktarı]]/Table1[[#This Row],[Satış Miktarı]]</f>
        <v>3.0775994724115191E-3</v>
      </c>
      <c r="I508" t="s">
        <v>18</v>
      </c>
      <c r="J508">
        <v>26</v>
      </c>
      <c r="K508">
        <f>Table1[[#This Row],[Satış Miktarı]]*Table1[[#This Row],[Satış Fiyatı]]</f>
        <v>118274</v>
      </c>
      <c r="L508" t="s">
        <v>19</v>
      </c>
      <c r="M508" t="s">
        <v>58</v>
      </c>
      <c r="N508" t="s">
        <v>61</v>
      </c>
      <c r="O508">
        <v>0.2</v>
      </c>
      <c r="P508" t="s">
        <v>22</v>
      </c>
      <c r="Q508" t="s">
        <v>62</v>
      </c>
    </row>
    <row r="509" spans="1:17">
      <c r="A509">
        <v>615833930</v>
      </c>
      <c r="B509" t="s">
        <v>73</v>
      </c>
      <c r="C509" t="s">
        <v>17</v>
      </c>
      <c r="D509" s="1">
        <v>48090</v>
      </c>
      <c r="E509">
        <v>4543</v>
      </c>
      <c r="F509">
        <v>37</v>
      </c>
      <c r="G509" s="2">
        <v>8.0999999999999996E-3</v>
      </c>
      <c r="H509" s="2">
        <f>Table1[[#This Row],[İade Miktarı]]/Table1[[#This Row],[Satış Miktarı]]</f>
        <v>8.1443979749064501E-3</v>
      </c>
      <c r="I509" t="s">
        <v>18</v>
      </c>
      <c r="J509">
        <v>23</v>
      </c>
      <c r="K509">
        <f>Table1[[#This Row],[Satış Miktarı]]*Table1[[#This Row],[Satış Fiyatı]]</f>
        <v>104489</v>
      </c>
      <c r="L509" t="s">
        <v>19</v>
      </c>
      <c r="M509" t="s">
        <v>60</v>
      </c>
      <c r="N509" t="s">
        <v>21</v>
      </c>
      <c r="O509">
        <v>0.2</v>
      </c>
      <c r="P509" t="s">
        <v>27</v>
      </c>
      <c r="Q509" t="s">
        <v>32</v>
      </c>
    </row>
    <row r="510" spans="1:17">
      <c r="A510">
        <v>240772280</v>
      </c>
      <c r="B510" t="s">
        <v>16</v>
      </c>
      <c r="C510" t="s">
        <v>17</v>
      </c>
      <c r="D510" s="1">
        <v>48145</v>
      </c>
      <c r="E510">
        <v>2948</v>
      </c>
      <c r="F510">
        <v>43</v>
      </c>
      <c r="G510" s="2">
        <v>1.46E-2</v>
      </c>
      <c r="H510" s="2">
        <f>Table1[[#This Row],[İade Miktarı]]/Table1[[#This Row],[Satış Miktarı]]</f>
        <v>1.4586160108548168E-2</v>
      </c>
      <c r="I510" t="s">
        <v>18</v>
      </c>
      <c r="J510">
        <v>27</v>
      </c>
      <c r="K510">
        <f>Table1[[#This Row],[Satış Miktarı]]*Table1[[#This Row],[Satış Fiyatı]]</f>
        <v>79596</v>
      </c>
      <c r="L510" t="s">
        <v>19</v>
      </c>
      <c r="M510" t="s">
        <v>64</v>
      </c>
      <c r="N510" t="s">
        <v>31</v>
      </c>
      <c r="O510">
        <v>0.2</v>
      </c>
      <c r="P510" t="s">
        <v>27</v>
      </c>
      <c r="Q510" t="s">
        <v>80</v>
      </c>
    </row>
    <row r="511" spans="1:17">
      <c r="A511">
        <v>608061101</v>
      </c>
      <c r="B511" t="s">
        <v>24</v>
      </c>
      <c r="C511" t="s">
        <v>17</v>
      </c>
      <c r="D511" s="1">
        <v>48344</v>
      </c>
      <c r="E511">
        <v>2227</v>
      </c>
      <c r="F511">
        <v>22</v>
      </c>
      <c r="G511" s="2">
        <v>9.9000000000000008E-3</v>
      </c>
      <c r="H511" s="2">
        <f>Table1[[#This Row],[İade Miktarı]]/Table1[[#This Row],[Satış Miktarı]]</f>
        <v>9.8787606645711727E-3</v>
      </c>
      <c r="I511" t="s">
        <v>18</v>
      </c>
      <c r="J511">
        <v>21</v>
      </c>
      <c r="K511">
        <f>Table1[[#This Row],[Satış Miktarı]]*Table1[[#This Row],[Satış Fiyatı]]</f>
        <v>46767</v>
      </c>
      <c r="L511" t="s">
        <v>19</v>
      </c>
      <c r="M511" t="s">
        <v>68</v>
      </c>
      <c r="N511" t="s">
        <v>39</v>
      </c>
      <c r="O511">
        <v>0.2</v>
      </c>
      <c r="P511" t="s">
        <v>22</v>
      </c>
      <c r="Q511" t="s">
        <v>32</v>
      </c>
    </row>
    <row r="512" spans="1:17">
      <c r="A512">
        <v>443926422</v>
      </c>
      <c r="B512" t="s">
        <v>29</v>
      </c>
      <c r="C512" t="s">
        <v>17</v>
      </c>
      <c r="D512" s="1">
        <v>48305</v>
      </c>
      <c r="E512">
        <v>3543</v>
      </c>
      <c r="F512">
        <v>15</v>
      </c>
      <c r="G512" s="2">
        <v>4.1999999999999997E-3</v>
      </c>
      <c r="H512" s="2">
        <f>Table1[[#This Row],[İade Miktarı]]/Table1[[#This Row],[Satış Miktarı]]</f>
        <v>4.2337002540220152E-3</v>
      </c>
      <c r="I512" t="s">
        <v>18</v>
      </c>
      <c r="J512">
        <v>38</v>
      </c>
      <c r="K512">
        <f>Table1[[#This Row],[Satış Miktarı]]*Table1[[#This Row],[Satış Fiyatı]]</f>
        <v>134634</v>
      </c>
      <c r="L512" t="s">
        <v>19</v>
      </c>
      <c r="M512" t="s">
        <v>71</v>
      </c>
      <c r="N512" t="s">
        <v>61</v>
      </c>
      <c r="O512">
        <v>0.2</v>
      </c>
      <c r="P512" t="s">
        <v>27</v>
      </c>
      <c r="Q512" t="s">
        <v>75</v>
      </c>
    </row>
    <row r="513" spans="1:17">
      <c r="A513">
        <v>43396502</v>
      </c>
      <c r="B513" t="s">
        <v>33</v>
      </c>
      <c r="C513" t="s">
        <v>34</v>
      </c>
      <c r="D513" s="1">
        <v>48273</v>
      </c>
      <c r="E513">
        <v>3390</v>
      </c>
      <c r="F513">
        <v>46</v>
      </c>
      <c r="G513" s="2">
        <v>1.3599999999999999E-2</v>
      </c>
      <c r="H513" s="2">
        <f>Table1[[#This Row],[İade Miktarı]]/Table1[[#This Row],[Satış Miktarı]]</f>
        <v>1.3569321533923304E-2</v>
      </c>
      <c r="I513" t="s">
        <v>18</v>
      </c>
      <c r="J513">
        <v>23</v>
      </c>
      <c r="K513">
        <f>Table1[[#This Row],[Satış Miktarı]]*Table1[[#This Row],[Satış Fiyatı]]</f>
        <v>77970</v>
      </c>
      <c r="L513" t="s">
        <v>19</v>
      </c>
      <c r="M513" t="s">
        <v>74</v>
      </c>
      <c r="N513" t="s">
        <v>39</v>
      </c>
      <c r="O513">
        <v>0.2</v>
      </c>
      <c r="P513" t="s">
        <v>27</v>
      </c>
      <c r="Q513" t="s">
        <v>77</v>
      </c>
    </row>
    <row r="514" spans="1:17">
      <c r="A514">
        <v>288490387</v>
      </c>
      <c r="B514" t="s">
        <v>37</v>
      </c>
      <c r="C514" t="s">
        <v>34</v>
      </c>
      <c r="D514" s="1">
        <v>48266</v>
      </c>
      <c r="E514">
        <v>4509</v>
      </c>
      <c r="F514">
        <v>50</v>
      </c>
      <c r="G514" s="2">
        <v>1.11E-2</v>
      </c>
      <c r="H514" s="2">
        <f>Table1[[#This Row],[İade Miktarı]]/Table1[[#This Row],[Satış Miktarı]]</f>
        <v>1.1088933244621867E-2</v>
      </c>
      <c r="I514" t="s">
        <v>18</v>
      </c>
      <c r="J514">
        <v>45</v>
      </c>
      <c r="K514">
        <f>Table1[[#This Row],[Satış Miktarı]]*Table1[[#This Row],[Satış Fiyatı]]</f>
        <v>202905</v>
      </c>
      <c r="L514" t="s">
        <v>19</v>
      </c>
      <c r="M514" t="s">
        <v>20</v>
      </c>
      <c r="N514" t="s">
        <v>31</v>
      </c>
      <c r="O514">
        <v>0.2</v>
      </c>
      <c r="P514" t="s">
        <v>27</v>
      </c>
      <c r="Q514" t="s">
        <v>40</v>
      </c>
    </row>
    <row r="515" spans="1:17">
      <c r="A515">
        <v>340056113</v>
      </c>
      <c r="B515" t="s">
        <v>41</v>
      </c>
      <c r="C515" t="s">
        <v>17</v>
      </c>
      <c r="D515" s="1">
        <v>48035</v>
      </c>
      <c r="E515">
        <v>3297</v>
      </c>
      <c r="F515">
        <v>27</v>
      </c>
      <c r="G515" s="2">
        <v>8.2000000000000007E-3</v>
      </c>
      <c r="H515" s="2">
        <f>Table1[[#This Row],[İade Miktarı]]/Table1[[#This Row],[Satış Miktarı]]</f>
        <v>8.1892629663330302E-3</v>
      </c>
      <c r="I515" t="s">
        <v>18</v>
      </c>
      <c r="J515">
        <v>22</v>
      </c>
      <c r="K515">
        <f>Table1[[#This Row],[Satış Miktarı]]*Table1[[#This Row],[Satış Fiyatı]]</f>
        <v>72534</v>
      </c>
      <c r="L515" t="s">
        <v>19</v>
      </c>
      <c r="M515" t="s">
        <v>25</v>
      </c>
      <c r="N515" t="s">
        <v>43</v>
      </c>
      <c r="O515">
        <v>0.2</v>
      </c>
      <c r="P515" t="s">
        <v>27</v>
      </c>
      <c r="Q515" t="s">
        <v>84</v>
      </c>
    </row>
    <row r="516" spans="1:17">
      <c r="A516">
        <v>287389802</v>
      </c>
      <c r="B516" t="s">
        <v>44</v>
      </c>
      <c r="C516" t="s">
        <v>17</v>
      </c>
      <c r="D516" s="1">
        <v>47496</v>
      </c>
      <c r="E516">
        <v>1593</v>
      </c>
      <c r="F516">
        <v>47</v>
      </c>
      <c r="G516" s="2">
        <v>2.9499999999999998E-2</v>
      </c>
      <c r="H516" s="2">
        <f>Table1[[#This Row],[İade Miktarı]]/Table1[[#This Row],[Satış Miktarı]]</f>
        <v>2.9504080351537978E-2</v>
      </c>
      <c r="I516" t="s">
        <v>18</v>
      </c>
      <c r="J516">
        <v>39</v>
      </c>
      <c r="K516">
        <f>Table1[[#This Row],[Satış Miktarı]]*Table1[[#This Row],[Satış Fiyatı]]</f>
        <v>62127</v>
      </c>
      <c r="L516" t="s">
        <v>19</v>
      </c>
      <c r="M516" t="s">
        <v>30</v>
      </c>
      <c r="N516" t="s">
        <v>39</v>
      </c>
      <c r="O516">
        <v>0.2</v>
      </c>
      <c r="P516" t="s">
        <v>22</v>
      </c>
      <c r="Q516" t="s">
        <v>69</v>
      </c>
    </row>
    <row r="517" spans="1:17">
      <c r="A517">
        <v>739501426</v>
      </c>
      <c r="B517" t="s">
        <v>49</v>
      </c>
      <c r="C517" t="s">
        <v>34</v>
      </c>
      <c r="D517" s="1">
        <v>48324</v>
      </c>
      <c r="E517">
        <v>1135</v>
      </c>
      <c r="F517">
        <v>31</v>
      </c>
      <c r="G517" s="2">
        <v>2.7300000000000001E-2</v>
      </c>
      <c r="H517" s="2">
        <f>Table1[[#This Row],[İade Miktarı]]/Table1[[#This Row],[Satış Miktarı]]</f>
        <v>2.7312775330396475E-2</v>
      </c>
      <c r="I517" t="s">
        <v>18</v>
      </c>
      <c r="J517">
        <v>32</v>
      </c>
      <c r="K517">
        <f>Table1[[#This Row],[Satış Miktarı]]*Table1[[#This Row],[Satış Fiyatı]]</f>
        <v>36320</v>
      </c>
      <c r="L517" t="s">
        <v>19</v>
      </c>
      <c r="M517" t="s">
        <v>35</v>
      </c>
      <c r="N517" t="s">
        <v>76</v>
      </c>
      <c r="O517">
        <v>0.2</v>
      </c>
      <c r="P517" t="s">
        <v>27</v>
      </c>
      <c r="Q517" t="s">
        <v>56</v>
      </c>
    </row>
    <row r="518" spans="1:17">
      <c r="A518">
        <v>200842033</v>
      </c>
      <c r="B518" t="s">
        <v>51</v>
      </c>
      <c r="C518" t="s">
        <v>17</v>
      </c>
      <c r="D518" s="1">
        <v>48455</v>
      </c>
      <c r="E518">
        <v>3444</v>
      </c>
      <c r="F518">
        <v>18</v>
      </c>
      <c r="G518" s="2">
        <v>5.1999999999999998E-3</v>
      </c>
      <c r="H518" s="2">
        <f>Table1[[#This Row],[İade Miktarı]]/Table1[[#This Row],[Satış Miktarı]]</f>
        <v>5.2264808362369342E-3</v>
      </c>
      <c r="I518" t="s">
        <v>18</v>
      </c>
      <c r="J518">
        <v>39</v>
      </c>
      <c r="K518">
        <f>Table1[[#This Row],[Satış Miktarı]]*Table1[[#This Row],[Satış Fiyatı]]</f>
        <v>134316</v>
      </c>
      <c r="L518" t="s">
        <v>19</v>
      </c>
      <c r="M518" t="s">
        <v>38</v>
      </c>
      <c r="N518" t="s">
        <v>31</v>
      </c>
      <c r="O518">
        <v>0.2</v>
      </c>
      <c r="P518" t="s">
        <v>22</v>
      </c>
      <c r="Q518" t="s">
        <v>36</v>
      </c>
    </row>
    <row r="519" spans="1:17">
      <c r="A519">
        <v>585938662</v>
      </c>
      <c r="B519" t="s">
        <v>54</v>
      </c>
      <c r="C519" t="s">
        <v>34</v>
      </c>
      <c r="D519" s="1">
        <v>48254</v>
      </c>
      <c r="E519">
        <v>2013</v>
      </c>
      <c r="F519">
        <v>13</v>
      </c>
      <c r="G519" s="2">
        <v>6.4999999999999997E-3</v>
      </c>
      <c r="H519" s="2">
        <f>Table1[[#This Row],[İade Miktarı]]/Table1[[#This Row],[Satış Miktarı]]</f>
        <v>6.4580228514654744E-3</v>
      </c>
      <c r="I519" t="s">
        <v>18</v>
      </c>
      <c r="J519">
        <v>34</v>
      </c>
      <c r="K519">
        <f>Table1[[#This Row],[Satış Miktarı]]*Table1[[#This Row],[Satış Fiyatı]]</f>
        <v>68442</v>
      </c>
      <c r="L519" t="s">
        <v>19</v>
      </c>
      <c r="M519" t="s">
        <v>42</v>
      </c>
      <c r="N519" t="s">
        <v>43</v>
      </c>
      <c r="O519">
        <v>0.2</v>
      </c>
      <c r="P519" t="s">
        <v>27</v>
      </c>
      <c r="Q519" t="s">
        <v>62</v>
      </c>
    </row>
    <row r="520" spans="1:17">
      <c r="A520">
        <v>138089561</v>
      </c>
      <c r="B520" t="s">
        <v>57</v>
      </c>
      <c r="C520" t="s">
        <v>34</v>
      </c>
      <c r="D520" s="1">
        <v>48398</v>
      </c>
      <c r="E520">
        <v>3241</v>
      </c>
      <c r="F520">
        <v>19</v>
      </c>
      <c r="G520" s="2">
        <v>5.8999999999999999E-3</v>
      </c>
      <c r="H520" s="2">
        <f>Table1[[#This Row],[İade Miktarı]]/Table1[[#This Row],[Satış Miktarı]]</f>
        <v>5.8623881518049988E-3</v>
      </c>
      <c r="I520" t="s">
        <v>18</v>
      </c>
      <c r="J520">
        <v>39</v>
      </c>
      <c r="K520">
        <f>Table1[[#This Row],[Satış Miktarı]]*Table1[[#This Row],[Satış Fiyatı]]</f>
        <v>126399</v>
      </c>
      <c r="L520" t="s">
        <v>19</v>
      </c>
      <c r="M520" t="s">
        <v>46</v>
      </c>
      <c r="N520" t="s">
        <v>39</v>
      </c>
      <c r="O520">
        <v>0.2</v>
      </c>
      <c r="P520" t="s">
        <v>27</v>
      </c>
      <c r="Q520" t="s">
        <v>75</v>
      </c>
    </row>
    <row r="521" spans="1:17">
      <c r="A521">
        <v>771973557</v>
      </c>
      <c r="B521" t="s">
        <v>59</v>
      </c>
      <c r="C521" t="s">
        <v>17</v>
      </c>
      <c r="D521" s="1">
        <v>48348</v>
      </c>
      <c r="E521">
        <v>3651</v>
      </c>
      <c r="F521">
        <v>48</v>
      </c>
      <c r="G521" s="2">
        <v>1.3100000000000001E-2</v>
      </c>
      <c r="H521" s="2">
        <f>Table1[[#This Row],[İade Miktarı]]/Table1[[#This Row],[Satış Miktarı]]</f>
        <v>1.314708299096138E-2</v>
      </c>
      <c r="I521" t="s">
        <v>18</v>
      </c>
      <c r="J521">
        <v>48</v>
      </c>
      <c r="K521">
        <f>Table1[[#This Row],[Satış Miktarı]]*Table1[[#This Row],[Satış Fiyatı]]</f>
        <v>175248</v>
      </c>
      <c r="L521" t="s">
        <v>19</v>
      </c>
      <c r="M521" t="s">
        <v>46</v>
      </c>
      <c r="N521" t="s">
        <v>43</v>
      </c>
      <c r="O521">
        <v>0.2</v>
      </c>
      <c r="P521" t="s">
        <v>27</v>
      </c>
      <c r="Q521" t="s">
        <v>83</v>
      </c>
    </row>
    <row r="522" spans="1:17">
      <c r="A522">
        <v>957440347</v>
      </c>
      <c r="B522" t="s">
        <v>63</v>
      </c>
      <c r="C522" t="s">
        <v>17</v>
      </c>
      <c r="D522" s="1">
        <v>47644</v>
      </c>
      <c r="E522">
        <v>2757</v>
      </c>
      <c r="F522">
        <v>21</v>
      </c>
      <c r="G522" s="2">
        <v>7.6E-3</v>
      </c>
      <c r="H522" s="2">
        <f>Table1[[#This Row],[İade Miktarı]]/Table1[[#This Row],[Satış Miktarı]]</f>
        <v>7.6169749727965181E-3</v>
      </c>
      <c r="I522" t="s">
        <v>18</v>
      </c>
      <c r="J522">
        <v>34</v>
      </c>
      <c r="K522">
        <f>Table1[[#This Row],[Satış Miktarı]]*Table1[[#This Row],[Satış Fiyatı]]</f>
        <v>93738</v>
      </c>
      <c r="L522" t="s">
        <v>19</v>
      </c>
      <c r="M522" t="s">
        <v>52</v>
      </c>
      <c r="N522" t="s">
        <v>65</v>
      </c>
      <c r="O522">
        <v>0.2</v>
      </c>
      <c r="P522" t="s">
        <v>22</v>
      </c>
      <c r="Q522" t="s">
        <v>28</v>
      </c>
    </row>
    <row r="523" spans="1:17">
      <c r="A523">
        <v>21482972</v>
      </c>
      <c r="B523" t="s">
        <v>29</v>
      </c>
      <c r="C523" t="s">
        <v>17</v>
      </c>
      <c r="D523" s="1">
        <v>48139</v>
      </c>
      <c r="E523">
        <v>2014</v>
      </c>
      <c r="F523">
        <v>14</v>
      </c>
      <c r="G523" s="2">
        <v>7.0000000000000001E-3</v>
      </c>
      <c r="H523" s="2">
        <f>Table1[[#This Row],[İade Miktarı]]/Table1[[#This Row],[Satış Miktarı]]</f>
        <v>6.9513406156901684E-3</v>
      </c>
      <c r="I523" t="s">
        <v>18</v>
      </c>
      <c r="J523">
        <v>36</v>
      </c>
      <c r="K523">
        <f>Table1[[#This Row],[Satış Miktarı]]*Table1[[#This Row],[Satış Fiyatı]]</f>
        <v>72504</v>
      </c>
      <c r="L523" t="s">
        <v>19</v>
      </c>
      <c r="M523" t="s">
        <v>55</v>
      </c>
      <c r="N523" t="s">
        <v>31</v>
      </c>
      <c r="O523">
        <v>0.2</v>
      </c>
      <c r="P523" t="s">
        <v>27</v>
      </c>
      <c r="Q523" t="s">
        <v>75</v>
      </c>
    </row>
    <row r="524" spans="1:17">
      <c r="A524">
        <v>310572126</v>
      </c>
      <c r="B524" t="s">
        <v>33</v>
      </c>
      <c r="C524" t="s">
        <v>34</v>
      </c>
      <c r="D524" s="1">
        <v>47534</v>
      </c>
      <c r="E524">
        <v>4291</v>
      </c>
      <c r="F524">
        <v>17</v>
      </c>
      <c r="G524" s="2">
        <v>4.0000000000000001E-3</v>
      </c>
      <c r="H524" s="2">
        <f>Table1[[#This Row],[İade Miktarı]]/Table1[[#This Row],[Satış Miktarı]]</f>
        <v>3.9617804707527387E-3</v>
      </c>
      <c r="I524" t="s">
        <v>18</v>
      </c>
      <c r="J524">
        <v>45</v>
      </c>
      <c r="K524">
        <f>Table1[[#This Row],[Satış Miktarı]]*Table1[[#This Row],[Satış Fiyatı]]</f>
        <v>193095</v>
      </c>
      <c r="L524" t="s">
        <v>19</v>
      </c>
      <c r="M524" t="s">
        <v>58</v>
      </c>
      <c r="N524" t="s">
        <v>26</v>
      </c>
      <c r="O524">
        <v>0.2</v>
      </c>
      <c r="P524" t="s">
        <v>27</v>
      </c>
      <c r="Q524" t="s">
        <v>48</v>
      </c>
    </row>
    <row r="525" spans="1:17">
      <c r="A525">
        <v>70669724</v>
      </c>
      <c r="B525" t="s">
        <v>37</v>
      </c>
      <c r="C525" t="s">
        <v>34</v>
      </c>
      <c r="D525" s="1">
        <v>47674</v>
      </c>
      <c r="E525">
        <v>2868</v>
      </c>
      <c r="F525">
        <v>11</v>
      </c>
      <c r="G525" s="2">
        <v>3.8E-3</v>
      </c>
      <c r="H525" s="2">
        <f>Table1[[#This Row],[İade Miktarı]]/Table1[[#This Row],[Satış Miktarı]]</f>
        <v>3.8354253835425384E-3</v>
      </c>
      <c r="I525" t="s">
        <v>18</v>
      </c>
      <c r="J525">
        <v>36</v>
      </c>
      <c r="K525">
        <f>Table1[[#This Row],[Satış Miktarı]]*Table1[[#This Row],[Satış Fiyatı]]</f>
        <v>103248</v>
      </c>
      <c r="L525" t="s">
        <v>19</v>
      </c>
      <c r="M525" t="s">
        <v>60</v>
      </c>
      <c r="N525" t="s">
        <v>50</v>
      </c>
      <c r="O525">
        <v>0.2</v>
      </c>
      <c r="P525" t="s">
        <v>22</v>
      </c>
      <c r="Q525" t="s">
        <v>28</v>
      </c>
    </row>
    <row r="526" spans="1:17">
      <c r="A526">
        <v>542799900</v>
      </c>
      <c r="B526" t="s">
        <v>41</v>
      </c>
      <c r="C526" t="s">
        <v>17</v>
      </c>
      <c r="D526" s="1">
        <v>47930</v>
      </c>
      <c r="E526">
        <v>3895</v>
      </c>
      <c r="F526">
        <v>34</v>
      </c>
      <c r="G526" s="2">
        <v>8.6999999999999994E-3</v>
      </c>
      <c r="H526" s="2">
        <f>Table1[[#This Row],[İade Miktarı]]/Table1[[#This Row],[Satış Miktarı]]</f>
        <v>8.7291399229781769E-3</v>
      </c>
      <c r="I526" t="s">
        <v>45</v>
      </c>
      <c r="J526">
        <v>43</v>
      </c>
      <c r="K526">
        <f>Table1[[#This Row],[Satış Miktarı]]*Table1[[#This Row],[Satış Fiyatı]]</f>
        <v>167485</v>
      </c>
      <c r="L526" t="s">
        <v>19</v>
      </c>
      <c r="M526" t="s">
        <v>64</v>
      </c>
      <c r="N526" t="s">
        <v>39</v>
      </c>
      <c r="O526">
        <v>0.2</v>
      </c>
      <c r="P526" t="s">
        <v>27</v>
      </c>
      <c r="Q526" t="s">
        <v>53</v>
      </c>
    </row>
    <row r="527" spans="1:17">
      <c r="A527">
        <v>719140657</v>
      </c>
      <c r="B527" t="s">
        <v>44</v>
      </c>
      <c r="C527" t="s">
        <v>17</v>
      </c>
      <c r="D527" s="1">
        <v>48250</v>
      </c>
      <c r="E527">
        <v>2403</v>
      </c>
      <c r="F527">
        <v>29</v>
      </c>
      <c r="G527" s="2">
        <v>1.21E-2</v>
      </c>
      <c r="H527" s="2">
        <f>Table1[[#This Row],[İade Miktarı]]/Table1[[#This Row],[Satış Miktarı]]</f>
        <v>1.2068248023304202E-2</v>
      </c>
      <c r="I527" t="s">
        <v>18</v>
      </c>
      <c r="J527">
        <v>42</v>
      </c>
      <c r="K527">
        <f>Table1[[#This Row],[Satış Miktarı]]*Table1[[#This Row],[Satış Fiyatı]]</f>
        <v>100926</v>
      </c>
      <c r="L527" t="s">
        <v>19</v>
      </c>
      <c r="M527" t="s">
        <v>68</v>
      </c>
      <c r="N527" t="s">
        <v>21</v>
      </c>
      <c r="O527">
        <v>0.2</v>
      </c>
      <c r="P527" t="s">
        <v>27</v>
      </c>
      <c r="Q527" t="s">
        <v>72</v>
      </c>
    </row>
    <row r="528" spans="1:17">
      <c r="A528">
        <v>651868654</v>
      </c>
      <c r="B528" t="s">
        <v>49</v>
      </c>
      <c r="C528" t="s">
        <v>34</v>
      </c>
      <c r="D528" s="1">
        <v>47820</v>
      </c>
      <c r="E528">
        <v>1257</v>
      </c>
      <c r="F528">
        <v>18</v>
      </c>
      <c r="G528" s="2">
        <v>1.43E-2</v>
      </c>
      <c r="H528" s="2">
        <f>Table1[[#This Row],[İade Miktarı]]/Table1[[#This Row],[Satış Miktarı]]</f>
        <v>1.4319809069212411E-2</v>
      </c>
      <c r="I528" t="s">
        <v>18</v>
      </c>
      <c r="J528">
        <v>36</v>
      </c>
      <c r="K528">
        <f>Table1[[#This Row],[Satış Miktarı]]*Table1[[#This Row],[Satış Fiyatı]]</f>
        <v>45252</v>
      </c>
      <c r="L528" t="s">
        <v>19</v>
      </c>
      <c r="M528" t="s">
        <v>71</v>
      </c>
      <c r="N528" t="s">
        <v>31</v>
      </c>
      <c r="O528">
        <v>0.2</v>
      </c>
      <c r="P528" t="s">
        <v>22</v>
      </c>
      <c r="Q528" t="s">
        <v>48</v>
      </c>
    </row>
    <row r="529" spans="1:17">
      <c r="A529">
        <v>469395456</v>
      </c>
      <c r="B529" t="s">
        <v>51</v>
      </c>
      <c r="C529" t="s">
        <v>17</v>
      </c>
      <c r="D529" s="1">
        <v>48029</v>
      </c>
      <c r="E529">
        <v>3767</v>
      </c>
      <c r="F529">
        <v>14</v>
      </c>
      <c r="G529" s="2">
        <v>3.7000000000000002E-3</v>
      </c>
      <c r="H529" s="2">
        <f>Table1[[#This Row],[İade Miktarı]]/Table1[[#This Row],[Satış Miktarı]]</f>
        <v>3.7164852667905496E-3</v>
      </c>
      <c r="I529" t="s">
        <v>18</v>
      </c>
      <c r="J529">
        <v>48</v>
      </c>
      <c r="K529">
        <f>Table1[[#This Row],[Satış Miktarı]]*Table1[[#This Row],[Satış Fiyatı]]</f>
        <v>180816</v>
      </c>
      <c r="L529" t="s">
        <v>19</v>
      </c>
      <c r="M529" t="s">
        <v>74</v>
      </c>
      <c r="N529" t="s">
        <v>31</v>
      </c>
      <c r="O529">
        <v>0.2</v>
      </c>
      <c r="P529" t="s">
        <v>22</v>
      </c>
      <c r="Q529" t="s">
        <v>32</v>
      </c>
    </row>
    <row r="530" spans="1:17">
      <c r="A530">
        <v>775829411</v>
      </c>
      <c r="B530" t="s">
        <v>54</v>
      </c>
      <c r="C530" t="s">
        <v>34</v>
      </c>
      <c r="D530" s="1">
        <v>47492</v>
      </c>
      <c r="E530">
        <v>1583</v>
      </c>
      <c r="F530">
        <v>27</v>
      </c>
      <c r="G530" s="2">
        <v>1.7100000000000001E-2</v>
      </c>
      <c r="H530" s="2">
        <f>Table1[[#This Row],[İade Miktarı]]/Table1[[#This Row],[Satış Miktarı]]</f>
        <v>1.7056222362602652E-2</v>
      </c>
      <c r="I530" t="s">
        <v>18</v>
      </c>
      <c r="J530">
        <v>37</v>
      </c>
      <c r="K530">
        <f>Table1[[#This Row],[Satış Miktarı]]*Table1[[#This Row],[Satış Fiyatı]]</f>
        <v>58571</v>
      </c>
      <c r="L530" t="s">
        <v>19</v>
      </c>
      <c r="M530" t="s">
        <v>20</v>
      </c>
      <c r="N530" t="s">
        <v>76</v>
      </c>
      <c r="O530">
        <v>0.2</v>
      </c>
      <c r="P530" t="s">
        <v>27</v>
      </c>
      <c r="Q530" t="s">
        <v>82</v>
      </c>
    </row>
    <row r="531" spans="1:17">
      <c r="A531">
        <v>605165492</v>
      </c>
      <c r="B531" t="s">
        <v>57</v>
      </c>
      <c r="C531" t="s">
        <v>34</v>
      </c>
      <c r="D531" s="1">
        <v>48122</v>
      </c>
      <c r="E531">
        <v>3526</v>
      </c>
      <c r="F531">
        <v>34</v>
      </c>
      <c r="G531" s="2">
        <v>9.5999999999999992E-3</v>
      </c>
      <c r="H531" s="2">
        <f>Table1[[#This Row],[İade Miktarı]]/Table1[[#This Row],[Satış Miktarı]]</f>
        <v>9.6426545660805441E-3</v>
      </c>
      <c r="I531" t="s">
        <v>18</v>
      </c>
      <c r="J531">
        <v>37</v>
      </c>
      <c r="K531">
        <f>Table1[[#This Row],[Satış Miktarı]]*Table1[[#This Row],[Satış Fiyatı]]</f>
        <v>130462</v>
      </c>
      <c r="L531" t="s">
        <v>19</v>
      </c>
      <c r="M531" t="s">
        <v>25</v>
      </c>
      <c r="N531" t="s">
        <v>61</v>
      </c>
      <c r="O531">
        <v>0.2</v>
      </c>
      <c r="P531" t="s">
        <v>27</v>
      </c>
      <c r="Q531" t="s">
        <v>62</v>
      </c>
    </row>
    <row r="532" spans="1:17">
      <c r="A532">
        <v>525466568</v>
      </c>
      <c r="B532" t="s">
        <v>59</v>
      </c>
      <c r="C532" t="s">
        <v>17</v>
      </c>
      <c r="D532" s="1">
        <v>48375</v>
      </c>
      <c r="E532">
        <v>2616</v>
      </c>
      <c r="F532">
        <v>20</v>
      </c>
      <c r="G532" s="2">
        <v>7.6E-3</v>
      </c>
      <c r="H532" s="2">
        <f>Table1[[#This Row],[İade Miktarı]]/Table1[[#This Row],[Satış Miktarı]]</f>
        <v>7.6452599388379203E-3</v>
      </c>
      <c r="I532" t="s">
        <v>18</v>
      </c>
      <c r="J532">
        <v>42</v>
      </c>
      <c r="K532">
        <f>Table1[[#This Row],[Satış Miktarı]]*Table1[[#This Row],[Satış Fiyatı]]</f>
        <v>109872</v>
      </c>
      <c r="L532" t="s">
        <v>19</v>
      </c>
      <c r="M532" t="s">
        <v>30</v>
      </c>
      <c r="N532" t="s">
        <v>26</v>
      </c>
      <c r="O532">
        <v>0.2</v>
      </c>
      <c r="P532" t="s">
        <v>22</v>
      </c>
      <c r="Q532" t="s">
        <v>48</v>
      </c>
    </row>
    <row r="533" spans="1:17">
      <c r="A533">
        <v>632391080</v>
      </c>
      <c r="B533" t="s">
        <v>63</v>
      </c>
      <c r="C533" t="s">
        <v>17</v>
      </c>
      <c r="D533" s="1">
        <v>47958</v>
      </c>
      <c r="E533">
        <v>2752</v>
      </c>
      <c r="F533">
        <v>21</v>
      </c>
      <c r="G533" s="2">
        <v>7.6E-3</v>
      </c>
      <c r="H533" s="2">
        <f>Table1[[#This Row],[İade Miktarı]]/Table1[[#This Row],[Satış Miktarı]]</f>
        <v>7.6308139534883718E-3</v>
      </c>
      <c r="I533" t="s">
        <v>18</v>
      </c>
      <c r="J533">
        <v>25</v>
      </c>
      <c r="K533">
        <f>Table1[[#This Row],[Satış Miktarı]]*Table1[[#This Row],[Satış Fiyatı]]</f>
        <v>68800</v>
      </c>
      <c r="L533" t="s">
        <v>19</v>
      </c>
      <c r="M533" t="s">
        <v>35</v>
      </c>
      <c r="N533" t="s">
        <v>78</v>
      </c>
      <c r="O533">
        <v>0.2</v>
      </c>
      <c r="P533" t="s">
        <v>27</v>
      </c>
      <c r="Q533" t="s">
        <v>48</v>
      </c>
    </row>
    <row r="534" spans="1:17">
      <c r="A534">
        <v>801320108</v>
      </c>
      <c r="B534" t="s">
        <v>67</v>
      </c>
      <c r="C534" t="s">
        <v>17</v>
      </c>
      <c r="D534" s="1">
        <v>48321</v>
      </c>
      <c r="E534">
        <v>4852</v>
      </c>
      <c r="F534">
        <v>21</v>
      </c>
      <c r="G534" s="2">
        <v>4.3E-3</v>
      </c>
      <c r="H534" s="2">
        <f>Table1[[#This Row],[İade Miktarı]]/Table1[[#This Row],[Satış Miktarı]]</f>
        <v>4.3281121187139322E-3</v>
      </c>
      <c r="I534" t="s">
        <v>45</v>
      </c>
      <c r="J534">
        <v>28</v>
      </c>
      <c r="K534">
        <f>Table1[[#This Row],[Satış Miktarı]]*Table1[[#This Row],[Satış Fiyatı]]</f>
        <v>135856</v>
      </c>
      <c r="L534" t="s">
        <v>19</v>
      </c>
      <c r="M534" t="s">
        <v>38</v>
      </c>
      <c r="N534" t="s">
        <v>61</v>
      </c>
      <c r="O534">
        <v>0.2</v>
      </c>
      <c r="P534" t="s">
        <v>27</v>
      </c>
      <c r="Q534" t="s">
        <v>72</v>
      </c>
    </row>
    <row r="535" spans="1:17">
      <c r="A535">
        <v>873530906</v>
      </c>
      <c r="B535" t="s">
        <v>70</v>
      </c>
      <c r="C535" t="s">
        <v>17</v>
      </c>
      <c r="D535" s="1">
        <v>48426</v>
      </c>
      <c r="E535">
        <v>1912</v>
      </c>
      <c r="F535">
        <v>33</v>
      </c>
      <c r="G535" s="2">
        <v>1.7299999999999999E-2</v>
      </c>
      <c r="H535" s="2">
        <f>Table1[[#This Row],[İade Miktarı]]/Table1[[#This Row],[Satış Miktarı]]</f>
        <v>1.7259414225941423E-2</v>
      </c>
      <c r="I535" t="s">
        <v>18</v>
      </c>
      <c r="J535">
        <v>26</v>
      </c>
      <c r="K535">
        <f>Table1[[#This Row],[Satış Miktarı]]*Table1[[#This Row],[Satış Fiyatı]]</f>
        <v>49712</v>
      </c>
      <c r="L535" t="s">
        <v>19</v>
      </c>
      <c r="M535" t="s">
        <v>42</v>
      </c>
      <c r="N535" t="s">
        <v>39</v>
      </c>
      <c r="O535">
        <v>0.2</v>
      </c>
      <c r="P535" t="s">
        <v>22</v>
      </c>
      <c r="Q535" t="s">
        <v>72</v>
      </c>
    </row>
    <row r="536" spans="1:17">
      <c r="A536">
        <v>829742623</v>
      </c>
      <c r="B536" t="s">
        <v>73</v>
      </c>
      <c r="C536" t="s">
        <v>17</v>
      </c>
      <c r="D536" s="1">
        <v>48085</v>
      </c>
      <c r="E536">
        <v>3191</v>
      </c>
      <c r="F536">
        <v>22</v>
      </c>
      <c r="G536" s="2">
        <v>6.8999999999999999E-3</v>
      </c>
      <c r="H536" s="2">
        <f>Table1[[#This Row],[İade Miktarı]]/Table1[[#This Row],[Satış Miktarı]]</f>
        <v>6.8943904732058914E-3</v>
      </c>
      <c r="I536" t="s">
        <v>18</v>
      </c>
      <c r="J536">
        <v>22</v>
      </c>
      <c r="K536">
        <f>Table1[[#This Row],[Satış Miktarı]]*Table1[[#This Row],[Satış Fiyatı]]</f>
        <v>70202</v>
      </c>
      <c r="L536" t="s">
        <v>19</v>
      </c>
      <c r="M536" t="s">
        <v>46</v>
      </c>
      <c r="N536" t="s">
        <v>39</v>
      </c>
      <c r="O536">
        <v>0.2</v>
      </c>
      <c r="P536" t="s">
        <v>27</v>
      </c>
      <c r="Q536" t="s">
        <v>69</v>
      </c>
    </row>
    <row r="537" spans="1:17">
      <c r="A537">
        <v>813723862</v>
      </c>
      <c r="B537" t="s">
        <v>16</v>
      </c>
      <c r="C537" t="s">
        <v>17</v>
      </c>
      <c r="D537" s="1">
        <v>47689</v>
      </c>
      <c r="E537">
        <v>3472</v>
      </c>
      <c r="F537">
        <v>49</v>
      </c>
      <c r="G537" s="2">
        <v>1.41E-2</v>
      </c>
      <c r="H537" s="2">
        <f>Table1[[#This Row],[İade Miktarı]]/Table1[[#This Row],[Satış Miktarı]]</f>
        <v>1.4112903225806451E-2</v>
      </c>
      <c r="I537" t="s">
        <v>18</v>
      </c>
      <c r="J537">
        <v>49</v>
      </c>
      <c r="K537">
        <f>Table1[[#This Row],[Satış Miktarı]]*Table1[[#This Row],[Satış Fiyatı]]</f>
        <v>170128</v>
      </c>
      <c r="L537" t="s">
        <v>19</v>
      </c>
      <c r="M537" t="s">
        <v>46</v>
      </c>
      <c r="N537" t="s">
        <v>39</v>
      </c>
      <c r="O537">
        <v>0.2</v>
      </c>
      <c r="P537" t="s">
        <v>22</v>
      </c>
      <c r="Q537" t="s">
        <v>84</v>
      </c>
    </row>
    <row r="538" spans="1:17">
      <c r="A538">
        <v>604446768</v>
      </c>
      <c r="B538" t="s">
        <v>24</v>
      </c>
      <c r="C538" t="s">
        <v>17</v>
      </c>
      <c r="D538" s="1">
        <v>48316</v>
      </c>
      <c r="E538">
        <v>3641</v>
      </c>
      <c r="F538">
        <v>42</v>
      </c>
      <c r="G538" s="2">
        <v>1.15E-2</v>
      </c>
      <c r="H538" s="2">
        <f>Table1[[#This Row],[İade Miktarı]]/Table1[[#This Row],[Satış Miktarı]]</f>
        <v>1.1535292502059874E-2</v>
      </c>
      <c r="I538" t="s">
        <v>18</v>
      </c>
      <c r="J538">
        <v>34</v>
      </c>
      <c r="K538">
        <f>Table1[[#This Row],[Satış Miktarı]]*Table1[[#This Row],[Satış Fiyatı]]</f>
        <v>123794</v>
      </c>
      <c r="L538" t="s">
        <v>19</v>
      </c>
      <c r="M538" t="s">
        <v>52</v>
      </c>
      <c r="N538" t="s">
        <v>26</v>
      </c>
      <c r="O538">
        <v>0.2</v>
      </c>
      <c r="P538" t="s">
        <v>27</v>
      </c>
      <c r="Q538" t="s">
        <v>36</v>
      </c>
    </row>
    <row r="539" spans="1:17">
      <c r="A539">
        <v>758454398</v>
      </c>
      <c r="B539" t="s">
        <v>29</v>
      </c>
      <c r="C539" t="s">
        <v>17</v>
      </c>
      <c r="D539" s="1">
        <v>48045</v>
      </c>
      <c r="E539">
        <v>4386</v>
      </c>
      <c r="F539">
        <v>45</v>
      </c>
      <c r="G539" s="2">
        <v>1.03E-2</v>
      </c>
      <c r="H539" s="2">
        <f>Table1[[#This Row],[İade Miktarı]]/Table1[[#This Row],[Satış Miktarı]]</f>
        <v>1.0259917920656635E-2</v>
      </c>
      <c r="I539" t="s">
        <v>18</v>
      </c>
      <c r="J539">
        <v>27</v>
      </c>
      <c r="K539">
        <f>Table1[[#This Row],[Satış Miktarı]]*Table1[[#This Row],[Satış Fiyatı]]</f>
        <v>118422</v>
      </c>
      <c r="L539" t="s">
        <v>19</v>
      </c>
      <c r="M539" t="s">
        <v>55</v>
      </c>
      <c r="N539" t="s">
        <v>31</v>
      </c>
      <c r="O539">
        <v>0.2</v>
      </c>
      <c r="P539" t="s">
        <v>27</v>
      </c>
      <c r="Q539" t="s">
        <v>80</v>
      </c>
    </row>
    <row r="540" spans="1:17">
      <c r="A540">
        <v>579776994</v>
      </c>
      <c r="B540" t="s">
        <v>33</v>
      </c>
      <c r="C540" t="s">
        <v>34</v>
      </c>
      <c r="D540" s="1">
        <v>48076</v>
      </c>
      <c r="E540">
        <v>3587</v>
      </c>
      <c r="F540">
        <v>26</v>
      </c>
      <c r="G540" s="2">
        <v>7.1999999999999998E-3</v>
      </c>
      <c r="H540" s="2">
        <f>Table1[[#This Row],[İade Miktarı]]/Table1[[#This Row],[Satış Miktarı]]</f>
        <v>7.2483969891274048E-3</v>
      </c>
      <c r="I540" t="s">
        <v>18</v>
      </c>
      <c r="J540">
        <v>38</v>
      </c>
      <c r="K540">
        <f>Table1[[#This Row],[Satış Miktarı]]*Table1[[#This Row],[Satış Fiyatı]]</f>
        <v>136306</v>
      </c>
      <c r="L540" t="s">
        <v>19</v>
      </c>
      <c r="M540" t="s">
        <v>58</v>
      </c>
      <c r="N540" t="s">
        <v>47</v>
      </c>
      <c r="O540">
        <v>0.2</v>
      </c>
      <c r="P540" t="s">
        <v>22</v>
      </c>
      <c r="Q540" t="s">
        <v>84</v>
      </c>
    </row>
    <row r="541" spans="1:17">
      <c r="A541">
        <v>354086275</v>
      </c>
      <c r="B541" t="s">
        <v>37</v>
      </c>
      <c r="C541" t="s">
        <v>34</v>
      </c>
      <c r="D541" s="1">
        <v>48526</v>
      </c>
      <c r="E541">
        <v>3075</v>
      </c>
      <c r="F541">
        <v>50</v>
      </c>
      <c r="G541" s="2">
        <v>1.6299999999999999E-2</v>
      </c>
      <c r="H541" s="2">
        <f>Table1[[#This Row],[İade Miktarı]]/Table1[[#This Row],[Satış Miktarı]]</f>
        <v>1.6260162601626018E-2</v>
      </c>
      <c r="I541" t="s">
        <v>18</v>
      </c>
      <c r="J541">
        <v>46</v>
      </c>
      <c r="K541">
        <f>Table1[[#This Row],[Satış Miktarı]]*Table1[[#This Row],[Satış Fiyatı]]</f>
        <v>141450</v>
      </c>
      <c r="L541" t="s">
        <v>19</v>
      </c>
      <c r="M541" t="s">
        <v>60</v>
      </c>
      <c r="N541" t="s">
        <v>39</v>
      </c>
      <c r="O541">
        <v>0.2</v>
      </c>
      <c r="P541" t="s">
        <v>22</v>
      </c>
      <c r="Q541" t="s">
        <v>72</v>
      </c>
    </row>
    <row r="542" spans="1:17">
      <c r="A542">
        <v>259183812</v>
      </c>
      <c r="B542" t="s">
        <v>41</v>
      </c>
      <c r="C542" t="s">
        <v>17</v>
      </c>
      <c r="D542" s="1">
        <v>48251</v>
      </c>
      <c r="E542">
        <v>4110</v>
      </c>
      <c r="F542">
        <v>12</v>
      </c>
      <c r="G542" s="2">
        <v>2.8999999999999998E-3</v>
      </c>
      <c r="H542" s="2">
        <f>Table1[[#This Row],[İade Miktarı]]/Table1[[#This Row],[Satış Miktarı]]</f>
        <v>2.9197080291970801E-3</v>
      </c>
      <c r="I542" t="s">
        <v>18</v>
      </c>
      <c r="J542">
        <v>41</v>
      </c>
      <c r="K542">
        <f>Table1[[#This Row],[Satış Miktarı]]*Table1[[#This Row],[Satış Fiyatı]]</f>
        <v>168510</v>
      </c>
      <c r="L542" t="s">
        <v>19</v>
      </c>
      <c r="M542" t="s">
        <v>64</v>
      </c>
      <c r="N542" t="s">
        <v>50</v>
      </c>
      <c r="O542">
        <v>0.2</v>
      </c>
      <c r="P542" t="s">
        <v>22</v>
      </c>
      <c r="Q542" t="s">
        <v>84</v>
      </c>
    </row>
    <row r="543" spans="1:17">
      <c r="A543">
        <v>344254351</v>
      </c>
      <c r="B543" t="s">
        <v>44</v>
      </c>
      <c r="C543" t="s">
        <v>17</v>
      </c>
      <c r="D543" s="1">
        <v>47666</v>
      </c>
      <c r="E543">
        <v>1360</v>
      </c>
      <c r="F543">
        <v>30</v>
      </c>
      <c r="G543" s="2">
        <v>2.2100000000000002E-2</v>
      </c>
      <c r="H543" s="2">
        <f>Table1[[#This Row],[İade Miktarı]]/Table1[[#This Row],[Satış Miktarı]]</f>
        <v>2.2058823529411766E-2</v>
      </c>
      <c r="I543" t="s">
        <v>18</v>
      </c>
      <c r="J543">
        <v>37</v>
      </c>
      <c r="K543">
        <f>Table1[[#This Row],[Satış Miktarı]]*Table1[[#This Row],[Satış Fiyatı]]</f>
        <v>50320</v>
      </c>
      <c r="L543" t="s">
        <v>19</v>
      </c>
      <c r="M543" t="s">
        <v>68</v>
      </c>
      <c r="N543" t="s">
        <v>76</v>
      </c>
      <c r="O543">
        <v>0.2</v>
      </c>
      <c r="P543" t="s">
        <v>22</v>
      </c>
      <c r="Q543" t="s">
        <v>40</v>
      </c>
    </row>
    <row r="544" spans="1:17">
      <c r="A544">
        <v>460304021</v>
      </c>
      <c r="B544" t="s">
        <v>49</v>
      </c>
      <c r="C544" t="s">
        <v>34</v>
      </c>
      <c r="D544" s="1">
        <v>48381</v>
      </c>
      <c r="E544">
        <v>2978</v>
      </c>
      <c r="F544">
        <v>41</v>
      </c>
      <c r="G544" s="2">
        <v>1.38E-2</v>
      </c>
      <c r="H544" s="2">
        <f>Table1[[#This Row],[İade Miktarı]]/Table1[[#This Row],[Satış Miktarı]]</f>
        <v>1.3767629281396911E-2</v>
      </c>
      <c r="I544" t="s">
        <v>18</v>
      </c>
      <c r="J544">
        <v>22</v>
      </c>
      <c r="K544">
        <f>Table1[[#This Row],[Satış Miktarı]]*Table1[[#This Row],[Satış Fiyatı]]</f>
        <v>65516</v>
      </c>
      <c r="L544" t="s">
        <v>19</v>
      </c>
      <c r="M544" t="s">
        <v>71</v>
      </c>
      <c r="N544" t="s">
        <v>21</v>
      </c>
      <c r="O544">
        <v>0.2</v>
      </c>
      <c r="P544" t="s">
        <v>22</v>
      </c>
      <c r="Q544" t="s">
        <v>53</v>
      </c>
    </row>
    <row r="545" spans="1:17">
      <c r="A545">
        <v>822298243</v>
      </c>
      <c r="B545" t="s">
        <v>51</v>
      </c>
      <c r="C545" t="s">
        <v>17</v>
      </c>
      <c r="D545" s="1">
        <v>47908</v>
      </c>
      <c r="E545">
        <v>3373</v>
      </c>
      <c r="F545">
        <v>16</v>
      </c>
      <c r="G545" s="2">
        <v>4.7000000000000002E-3</v>
      </c>
      <c r="H545" s="2">
        <f>Table1[[#This Row],[İade Miktarı]]/Table1[[#This Row],[Satış Miktarı]]</f>
        <v>4.7435517343611027E-3</v>
      </c>
      <c r="I545" t="s">
        <v>87</v>
      </c>
      <c r="J545">
        <v>26</v>
      </c>
      <c r="K545">
        <f>Table1[[#This Row],[Satış Miktarı]]*Table1[[#This Row],[Satış Fiyatı]]</f>
        <v>87698</v>
      </c>
      <c r="L545" t="s">
        <v>88</v>
      </c>
      <c r="M545" t="s">
        <v>74</v>
      </c>
      <c r="N545" t="s">
        <v>47</v>
      </c>
      <c r="O545">
        <v>0.2</v>
      </c>
      <c r="P545" t="s">
        <v>27</v>
      </c>
      <c r="Q545" t="s">
        <v>82</v>
      </c>
    </row>
    <row r="546" spans="1:17">
      <c r="A546">
        <v>645369291</v>
      </c>
      <c r="B546" t="s">
        <v>54</v>
      </c>
      <c r="C546" t="s">
        <v>34</v>
      </c>
      <c r="D546" s="1">
        <v>47815</v>
      </c>
      <c r="E546">
        <v>4465</v>
      </c>
      <c r="F546">
        <v>36</v>
      </c>
      <c r="G546" s="2">
        <v>8.0999999999999996E-3</v>
      </c>
      <c r="H546" s="2">
        <f>Table1[[#This Row],[İade Miktarı]]/Table1[[#This Row],[Satış Miktarı]]</f>
        <v>8.0627099664053754E-3</v>
      </c>
      <c r="I546" t="s">
        <v>81</v>
      </c>
      <c r="J546">
        <v>32</v>
      </c>
      <c r="K546">
        <f>Table1[[#This Row],[Satış Miktarı]]*Table1[[#This Row],[Satış Fiyatı]]</f>
        <v>142880</v>
      </c>
      <c r="L546" t="s">
        <v>19</v>
      </c>
      <c r="M546" t="s">
        <v>20</v>
      </c>
      <c r="N546" t="s">
        <v>39</v>
      </c>
      <c r="O546">
        <v>0.2</v>
      </c>
      <c r="P546" t="s">
        <v>27</v>
      </c>
      <c r="Q546" t="s">
        <v>48</v>
      </c>
    </row>
    <row r="547" spans="1:17">
      <c r="A547">
        <v>935327102</v>
      </c>
      <c r="B547" t="s">
        <v>57</v>
      </c>
      <c r="C547" t="s">
        <v>34</v>
      </c>
      <c r="D547" s="1">
        <v>47954</v>
      </c>
      <c r="E547">
        <v>3103</v>
      </c>
      <c r="F547">
        <v>43</v>
      </c>
      <c r="G547" s="2">
        <v>1.3899999999999999E-2</v>
      </c>
      <c r="H547" s="2">
        <f>Table1[[#This Row],[İade Miktarı]]/Table1[[#This Row],[Satış Miktarı]]</f>
        <v>1.3857557202707057E-2</v>
      </c>
      <c r="I547" t="s">
        <v>18</v>
      </c>
      <c r="J547">
        <v>27</v>
      </c>
      <c r="K547">
        <f>Table1[[#This Row],[Satış Miktarı]]*Table1[[#This Row],[Satış Fiyatı]]</f>
        <v>83781</v>
      </c>
      <c r="L547" t="s">
        <v>19</v>
      </c>
      <c r="M547" t="s">
        <v>25</v>
      </c>
      <c r="N547" t="s">
        <v>43</v>
      </c>
      <c r="O547">
        <v>0.2</v>
      </c>
      <c r="P547" t="s">
        <v>27</v>
      </c>
      <c r="Q547" t="s">
        <v>79</v>
      </c>
    </row>
    <row r="548" spans="1:17">
      <c r="A548">
        <v>752072949</v>
      </c>
      <c r="B548" t="s">
        <v>59</v>
      </c>
      <c r="C548" t="s">
        <v>17</v>
      </c>
      <c r="D548" s="1">
        <v>47805</v>
      </c>
      <c r="E548">
        <v>1292</v>
      </c>
      <c r="F548">
        <v>47</v>
      </c>
      <c r="G548" s="2">
        <v>3.6400000000000002E-2</v>
      </c>
      <c r="H548" s="2">
        <f>Table1[[#This Row],[İade Miktarı]]/Table1[[#This Row],[Satış Miktarı]]</f>
        <v>3.637770897832817E-2</v>
      </c>
      <c r="I548" t="s">
        <v>18</v>
      </c>
      <c r="J548">
        <v>29</v>
      </c>
      <c r="K548">
        <f>Table1[[#This Row],[Satış Miktarı]]*Table1[[#This Row],[Satış Fiyatı]]</f>
        <v>37468</v>
      </c>
      <c r="L548" t="s">
        <v>19</v>
      </c>
      <c r="M548" t="s">
        <v>30</v>
      </c>
      <c r="N548" t="s">
        <v>76</v>
      </c>
      <c r="O548">
        <v>0.2</v>
      </c>
      <c r="P548" t="s">
        <v>27</v>
      </c>
      <c r="Q548" t="s">
        <v>23</v>
      </c>
    </row>
    <row r="549" spans="1:17">
      <c r="A549">
        <v>606486580</v>
      </c>
      <c r="B549" t="s">
        <v>63</v>
      </c>
      <c r="C549" t="s">
        <v>17</v>
      </c>
      <c r="D549" s="1">
        <v>47776</v>
      </c>
      <c r="E549">
        <v>4273</v>
      </c>
      <c r="F549">
        <v>37</v>
      </c>
      <c r="G549" s="2">
        <v>8.6999999999999994E-3</v>
      </c>
      <c r="H549" s="2">
        <f>Table1[[#This Row],[İade Miktarı]]/Table1[[#This Row],[Satış Miktarı]]</f>
        <v>8.6590217645682189E-3</v>
      </c>
      <c r="I549" t="s">
        <v>18</v>
      </c>
      <c r="J549">
        <v>38</v>
      </c>
      <c r="K549">
        <f>Table1[[#This Row],[Satış Miktarı]]*Table1[[#This Row],[Satış Fiyatı]]</f>
        <v>162374</v>
      </c>
      <c r="L549" t="s">
        <v>19</v>
      </c>
      <c r="M549" t="s">
        <v>35</v>
      </c>
      <c r="N549" t="s">
        <v>76</v>
      </c>
      <c r="O549">
        <v>0.2</v>
      </c>
      <c r="P549" t="s">
        <v>22</v>
      </c>
      <c r="Q549" t="s">
        <v>28</v>
      </c>
    </row>
    <row r="550" spans="1:17">
      <c r="A550">
        <v>183166352</v>
      </c>
      <c r="B550" t="s">
        <v>67</v>
      </c>
      <c r="C550" t="s">
        <v>17</v>
      </c>
      <c r="D550" s="1">
        <v>47484</v>
      </c>
      <c r="E550">
        <v>2918</v>
      </c>
      <c r="F550">
        <v>45</v>
      </c>
      <c r="G550" s="2">
        <v>1.54E-2</v>
      </c>
      <c r="H550" s="2">
        <f>Table1[[#This Row],[İade Miktarı]]/Table1[[#This Row],[Satış Miktarı]]</f>
        <v>1.5421521590130226E-2</v>
      </c>
      <c r="I550" t="s">
        <v>18</v>
      </c>
      <c r="J550">
        <v>29</v>
      </c>
      <c r="K550">
        <f>Table1[[#This Row],[Satış Miktarı]]*Table1[[#This Row],[Satış Fiyatı]]</f>
        <v>84622</v>
      </c>
      <c r="L550" t="s">
        <v>19</v>
      </c>
      <c r="M550" t="s">
        <v>38</v>
      </c>
      <c r="N550" t="s">
        <v>50</v>
      </c>
      <c r="O550">
        <v>0.2</v>
      </c>
      <c r="P550" t="s">
        <v>22</v>
      </c>
      <c r="Q550" t="s">
        <v>32</v>
      </c>
    </row>
    <row r="551" spans="1:17">
      <c r="A551">
        <v>620882368</v>
      </c>
      <c r="B551" t="s">
        <v>70</v>
      </c>
      <c r="C551" t="s">
        <v>17</v>
      </c>
      <c r="D551" s="1">
        <v>47900</v>
      </c>
      <c r="E551">
        <v>4388</v>
      </c>
      <c r="F551">
        <v>40</v>
      </c>
      <c r="G551" s="2">
        <v>9.1000000000000004E-3</v>
      </c>
      <c r="H551" s="2">
        <f>Table1[[#This Row],[İade Miktarı]]/Table1[[#This Row],[Satış Miktarı]]</f>
        <v>9.1157702825888781E-3</v>
      </c>
      <c r="I551" t="s">
        <v>18</v>
      </c>
      <c r="J551">
        <v>27</v>
      </c>
      <c r="K551">
        <f>Table1[[#This Row],[Satış Miktarı]]*Table1[[#This Row],[Satış Fiyatı]]</f>
        <v>118476</v>
      </c>
      <c r="L551" t="s">
        <v>19</v>
      </c>
      <c r="M551" t="s">
        <v>42</v>
      </c>
      <c r="N551" t="s">
        <v>31</v>
      </c>
      <c r="O551">
        <v>0.2</v>
      </c>
      <c r="P551" t="s">
        <v>22</v>
      </c>
      <c r="Q551" t="s">
        <v>40</v>
      </c>
    </row>
    <row r="552" spans="1:17">
      <c r="A552">
        <v>978618623</v>
      </c>
      <c r="B552" t="s">
        <v>73</v>
      </c>
      <c r="C552" t="s">
        <v>17</v>
      </c>
      <c r="D552" s="1">
        <v>48366</v>
      </c>
      <c r="E552">
        <v>1779</v>
      </c>
      <c r="F552">
        <v>29</v>
      </c>
      <c r="G552" s="2">
        <v>1.6299999999999999E-2</v>
      </c>
      <c r="H552" s="2">
        <f>Table1[[#This Row],[İade Miktarı]]/Table1[[#This Row],[Satış Miktarı]]</f>
        <v>1.6301292861157952E-2</v>
      </c>
      <c r="I552" t="s">
        <v>18</v>
      </c>
      <c r="J552">
        <v>34</v>
      </c>
      <c r="K552">
        <f>Table1[[#This Row],[Satış Miktarı]]*Table1[[#This Row],[Satış Fiyatı]]</f>
        <v>60486</v>
      </c>
      <c r="L552" t="s">
        <v>19</v>
      </c>
      <c r="M552" t="s">
        <v>46</v>
      </c>
      <c r="N552" t="s">
        <v>31</v>
      </c>
      <c r="O552">
        <v>0.2</v>
      </c>
      <c r="P552" t="s">
        <v>27</v>
      </c>
      <c r="Q552" t="s">
        <v>69</v>
      </c>
    </row>
    <row r="553" spans="1:17">
      <c r="A553">
        <v>957468724</v>
      </c>
      <c r="B553" t="s">
        <v>16</v>
      </c>
      <c r="C553" t="s">
        <v>17</v>
      </c>
      <c r="D553" s="1">
        <v>47869</v>
      </c>
      <c r="E553">
        <v>3850</v>
      </c>
      <c r="F553">
        <v>50</v>
      </c>
      <c r="G553" s="2">
        <v>1.2999999999999999E-2</v>
      </c>
      <c r="H553" s="2">
        <f>Table1[[#This Row],[İade Miktarı]]/Table1[[#This Row],[Satış Miktarı]]</f>
        <v>1.2987012987012988E-2</v>
      </c>
      <c r="I553" t="s">
        <v>18</v>
      </c>
      <c r="J553">
        <v>43</v>
      </c>
      <c r="K553">
        <f>Table1[[#This Row],[Satış Miktarı]]*Table1[[#This Row],[Satış Fiyatı]]</f>
        <v>165550</v>
      </c>
      <c r="L553" t="s">
        <v>19</v>
      </c>
      <c r="M553" t="s">
        <v>46</v>
      </c>
      <c r="N553" t="s">
        <v>61</v>
      </c>
      <c r="O553">
        <v>0.2</v>
      </c>
      <c r="P553" t="s">
        <v>27</v>
      </c>
      <c r="Q553" t="s">
        <v>40</v>
      </c>
    </row>
    <row r="554" spans="1:17">
      <c r="A554">
        <v>866274532</v>
      </c>
      <c r="B554" t="s">
        <v>24</v>
      </c>
      <c r="C554" t="s">
        <v>17</v>
      </c>
      <c r="D554" s="1">
        <v>47830</v>
      </c>
      <c r="E554">
        <v>4576</v>
      </c>
      <c r="F554">
        <v>45</v>
      </c>
      <c r="G554" s="2">
        <v>9.7999999999999997E-3</v>
      </c>
      <c r="H554" s="2">
        <f>Table1[[#This Row],[İade Miktarı]]/Table1[[#This Row],[Satış Miktarı]]</f>
        <v>9.833916083916084E-3</v>
      </c>
      <c r="I554" t="s">
        <v>18</v>
      </c>
      <c r="J554">
        <v>44</v>
      </c>
      <c r="K554">
        <f>Table1[[#This Row],[Satış Miktarı]]*Table1[[#This Row],[Satış Fiyatı]]</f>
        <v>201344</v>
      </c>
      <c r="L554" t="s">
        <v>19</v>
      </c>
      <c r="M554" t="s">
        <v>52</v>
      </c>
      <c r="N554" t="s">
        <v>78</v>
      </c>
      <c r="O554">
        <v>0.2</v>
      </c>
      <c r="P554" t="s">
        <v>22</v>
      </c>
      <c r="Q554" t="s">
        <v>80</v>
      </c>
    </row>
    <row r="555" spans="1:17">
      <c r="A555">
        <v>386676338</v>
      </c>
      <c r="B555" t="s">
        <v>29</v>
      </c>
      <c r="C555" t="s">
        <v>17</v>
      </c>
      <c r="D555" s="1">
        <v>47762</v>
      </c>
      <c r="E555">
        <v>3526</v>
      </c>
      <c r="F555">
        <v>28</v>
      </c>
      <c r="G555" s="2">
        <v>7.9000000000000008E-3</v>
      </c>
      <c r="H555" s="2">
        <f>Table1[[#This Row],[İade Miktarı]]/Table1[[#This Row],[Satış Miktarı]]</f>
        <v>7.9410096426545656E-3</v>
      </c>
      <c r="I555" t="s">
        <v>18</v>
      </c>
      <c r="J555">
        <v>36</v>
      </c>
      <c r="K555">
        <f>Table1[[#This Row],[Satış Miktarı]]*Table1[[#This Row],[Satış Fiyatı]]</f>
        <v>126936</v>
      </c>
      <c r="L555" t="s">
        <v>19</v>
      </c>
      <c r="M555" t="s">
        <v>55</v>
      </c>
      <c r="N555" t="s">
        <v>76</v>
      </c>
      <c r="O555">
        <v>0.2</v>
      </c>
      <c r="P555" t="s">
        <v>22</v>
      </c>
      <c r="Q555" t="s">
        <v>84</v>
      </c>
    </row>
    <row r="556" spans="1:17">
      <c r="A556">
        <v>288914484</v>
      </c>
      <c r="B556" t="s">
        <v>33</v>
      </c>
      <c r="C556" t="s">
        <v>34</v>
      </c>
      <c r="D556" s="1">
        <v>48205</v>
      </c>
      <c r="E556">
        <v>1917</v>
      </c>
      <c r="F556">
        <v>31</v>
      </c>
      <c r="G556" s="2">
        <v>1.6199999999999999E-2</v>
      </c>
      <c r="H556" s="2">
        <f>Table1[[#This Row],[İade Miktarı]]/Table1[[#This Row],[Satış Miktarı]]</f>
        <v>1.6171100678142931E-2</v>
      </c>
      <c r="I556" t="s">
        <v>18</v>
      </c>
      <c r="J556">
        <v>28</v>
      </c>
      <c r="K556">
        <f>Table1[[#This Row],[Satış Miktarı]]*Table1[[#This Row],[Satış Fiyatı]]</f>
        <v>53676</v>
      </c>
      <c r="L556" t="s">
        <v>19</v>
      </c>
      <c r="M556" t="s">
        <v>58</v>
      </c>
      <c r="N556" t="s">
        <v>76</v>
      </c>
      <c r="O556">
        <v>0.2</v>
      </c>
      <c r="P556" t="s">
        <v>27</v>
      </c>
      <c r="Q556" t="s">
        <v>75</v>
      </c>
    </row>
    <row r="557" spans="1:17">
      <c r="A557">
        <v>310849286</v>
      </c>
      <c r="B557" t="s">
        <v>37</v>
      </c>
      <c r="C557" t="s">
        <v>34</v>
      </c>
      <c r="D557" s="1">
        <v>48012</v>
      </c>
      <c r="E557">
        <v>1308</v>
      </c>
      <c r="F557">
        <v>43</v>
      </c>
      <c r="G557" s="2">
        <v>3.2899999999999999E-2</v>
      </c>
      <c r="H557" s="2">
        <f>Table1[[#This Row],[İade Miktarı]]/Table1[[#This Row],[Satış Miktarı]]</f>
        <v>3.2874617737003058E-2</v>
      </c>
      <c r="I557" t="s">
        <v>18</v>
      </c>
      <c r="J557">
        <v>49</v>
      </c>
      <c r="K557">
        <f>Table1[[#This Row],[Satış Miktarı]]*Table1[[#This Row],[Satış Fiyatı]]</f>
        <v>64092</v>
      </c>
      <c r="L557" t="s">
        <v>19</v>
      </c>
      <c r="M557" t="s">
        <v>60</v>
      </c>
      <c r="N557" t="s">
        <v>65</v>
      </c>
      <c r="O557">
        <v>0.2</v>
      </c>
      <c r="P557" t="s">
        <v>27</v>
      </c>
      <c r="Q557" t="s">
        <v>56</v>
      </c>
    </row>
    <row r="558" spans="1:17">
      <c r="A558">
        <v>364049951</v>
      </c>
      <c r="B558" t="s">
        <v>41</v>
      </c>
      <c r="C558" t="s">
        <v>17</v>
      </c>
      <c r="D558" s="1">
        <v>48393</v>
      </c>
      <c r="E558">
        <v>4004</v>
      </c>
      <c r="F558">
        <v>11</v>
      </c>
      <c r="G558" s="2">
        <v>2.7000000000000001E-3</v>
      </c>
      <c r="H558" s="2">
        <f>Table1[[#This Row],[İade Miktarı]]/Table1[[#This Row],[Satış Miktarı]]</f>
        <v>2.7472527472527475E-3</v>
      </c>
      <c r="I558" t="s">
        <v>18</v>
      </c>
      <c r="J558">
        <v>24</v>
      </c>
      <c r="K558">
        <f>Table1[[#This Row],[Satış Miktarı]]*Table1[[#This Row],[Satış Fiyatı]]</f>
        <v>96096</v>
      </c>
      <c r="L558" t="s">
        <v>19</v>
      </c>
      <c r="M558" t="s">
        <v>64</v>
      </c>
      <c r="N558" t="s">
        <v>21</v>
      </c>
      <c r="O558">
        <v>0.2</v>
      </c>
      <c r="P558" t="s">
        <v>22</v>
      </c>
      <c r="Q558" t="s">
        <v>72</v>
      </c>
    </row>
    <row r="559" spans="1:17">
      <c r="A559">
        <v>6361162</v>
      </c>
      <c r="B559" t="s">
        <v>44</v>
      </c>
      <c r="C559" t="s">
        <v>17</v>
      </c>
      <c r="D559" s="1">
        <v>47500</v>
      </c>
      <c r="E559">
        <v>2823</v>
      </c>
      <c r="F559">
        <v>29</v>
      </c>
      <c r="G559" s="2">
        <v>1.03E-2</v>
      </c>
      <c r="H559" s="2">
        <f>Table1[[#This Row],[İade Miktarı]]/Table1[[#This Row],[Satış Miktarı]]</f>
        <v>1.0272759475735034E-2</v>
      </c>
      <c r="I559" t="s">
        <v>18</v>
      </c>
      <c r="J559">
        <v>36</v>
      </c>
      <c r="K559">
        <f>Table1[[#This Row],[Satış Miktarı]]*Table1[[#This Row],[Satış Fiyatı]]</f>
        <v>101628</v>
      </c>
      <c r="L559" t="s">
        <v>19</v>
      </c>
      <c r="M559" t="s">
        <v>68</v>
      </c>
      <c r="N559" t="s">
        <v>21</v>
      </c>
      <c r="O559">
        <v>0.2</v>
      </c>
      <c r="P559" t="s">
        <v>22</v>
      </c>
      <c r="Q559" t="s">
        <v>66</v>
      </c>
    </row>
    <row r="560" spans="1:17">
      <c r="A560">
        <v>34926585</v>
      </c>
      <c r="B560" t="s">
        <v>49</v>
      </c>
      <c r="C560" t="s">
        <v>34</v>
      </c>
      <c r="D560" s="1">
        <v>47939</v>
      </c>
      <c r="E560">
        <v>1126</v>
      </c>
      <c r="F560">
        <v>29</v>
      </c>
      <c r="G560" s="2">
        <v>2.58E-2</v>
      </c>
      <c r="H560" s="2">
        <f>Table1[[#This Row],[İade Miktarı]]/Table1[[#This Row],[Satış Miktarı]]</f>
        <v>2.5754884547069271E-2</v>
      </c>
      <c r="I560" t="s">
        <v>18</v>
      </c>
      <c r="J560">
        <v>26</v>
      </c>
      <c r="K560">
        <f>Table1[[#This Row],[Satış Miktarı]]*Table1[[#This Row],[Satış Fiyatı]]</f>
        <v>29276</v>
      </c>
      <c r="L560" t="s">
        <v>19</v>
      </c>
      <c r="M560" t="s">
        <v>71</v>
      </c>
      <c r="N560" t="s">
        <v>43</v>
      </c>
      <c r="O560">
        <v>0.2</v>
      </c>
      <c r="P560" t="s">
        <v>27</v>
      </c>
      <c r="Q560" t="s">
        <v>83</v>
      </c>
    </row>
    <row r="561" spans="1:17">
      <c r="A561">
        <v>692720271</v>
      </c>
      <c r="B561" t="s">
        <v>51</v>
      </c>
      <c r="C561" t="s">
        <v>17</v>
      </c>
      <c r="D561" s="1">
        <v>48370</v>
      </c>
      <c r="E561">
        <v>2323</v>
      </c>
      <c r="F561">
        <v>31</v>
      </c>
      <c r="G561" s="2">
        <v>1.3299999999999999E-2</v>
      </c>
      <c r="H561" s="2">
        <f>Table1[[#This Row],[İade Miktarı]]/Table1[[#This Row],[Satış Miktarı]]</f>
        <v>1.334481274214378E-2</v>
      </c>
      <c r="I561" t="s">
        <v>18</v>
      </c>
      <c r="J561">
        <v>26</v>
      </c>
      <c r="K561">
        <f>Table1[[#This Row],[Satış Miktarı]]*Table1[[#This Row],[Satış Fiyatı]]</f>
        <v>60398</v>
      </c>
      <c r="L561" t="s">
        <v>19</v>
      </c>
      <c r="M561" t="s">
        <v>74</v>
      </c>
      <c r="N561" t="s">
        <v>47</v>
      </c>
      <c r="O561">
        <v>0.2</v>
      </c>
      <c r="P561" t="s">
        <v>27</v>
      </c>
      <c r="Q561" t="s">
        <v>56</v>
      </c>
    </row>
    <row r="562" spans="1:17">
      <c r="A562">
        <v>901449200</v>
      </c>
      <c r="B562" t="s">
        <v>54</v>
      </c>
      <c r="C562" t="s">
        <v>34</v>
      </c>
      <c r="D562" s="1">
        <v>47593</v>
      </c>
      <c r="E562">
        <v>3473</v>
      </c>
      <c r="F562">
        <v>49</v>
      </c>
      <c r="G562" s="2">
        <v>1.41E-2</v>
      </c>
      <c r="H562" s="2">
        <f>Table1[[#This Row],[İade Miktarı]]/Table1[[#This Row],[Satış Miktarı]]</f>
        <v>1.4108839619925137E-2</v>
      </c>
      <c r="I562" t="s">
        <v>18</v>
      </c>
      <c r="J562">
        <v>22</v>
      </c>
      <c r="K562">
        <f>Table1[[#This Row],[Satış Miktarı]]*Table1[[#This Row],[Satış Fiyatı]]</f>
        <v>76406</v>
      </c>
      <c r="L562" t="s">
        <v>19</v>
      </c>
      <c r="M562" t="s">
        <v>20</v>
      </c>
      <c r="N562" t="s">
        <v>26</v>
      </c>
      <c r="O562">
        <v>0.2</v>
      </c>
      <c r="P562" t="s">
        <v>22</v>
      </c>
      <c r="Q562" t="s">
        <v>40</v>
      </c>
    </row>
    <row r="563" spans="1:17">
      <c r="A563">
        <v>417642308</v>
      </c>
      <c r="B563" t="s">
        <v>57</v>
      </c>
      <c r="C563" t="s">
        <v>34</v>
      </c>
      <c r="D563" s="1">
        <v>47582</v>
      </c>
      <c r="E563">
        <v>2614</v>
      </c>
      <c r="F563">
        <v>32</v>
      </c>
      <c r="G563" s="2">
        <v>1.2200000000000001E-2</v>
      </c>
      <c r="H563" s="2">
        <f>Table1[[#This Row],[İade Miktarı]]/Table1[[#This Row],[Satış Miktarı]]</f>
        <v>1.224177505738332E-2</v>
      </c>
      <c r="I563" t="s">
        <v>18</v>
      </c>
      <c r="J563">
        <v>25</v>
      </c>
      <c r="K563">
        <f>Table1[[#This Row],[Satış Miktarı]]*Table1[[#This Row],[Satış Fiyatı]]</f>
        <v>65350</v>
      </c>
      <c r="L563" t="s">
        <v>19</v>
      </c>
      <c r="M563" t="s">
        <v>25</v>
      </c>
      <c r="N563" t="s">
        <v>39</v>
      </c>
      <c r="O563">
        <v>0.2</v>
      </c>
      <c r="P563" t="s">
        <v>27</v>
      </c>
      <c r="Q563" t="s">
        <v>83</v>
      </c>
    </row>
    <row r="564" spans="1:17">
      <c r="A564">
        <v>335916838</v>
      </c>
      <c r="B564" t="s">
        <v>59</v>
      </c>
      <c r="C564" t="s">
        <v>17</v>
      </c>
      <c r="D564" s="1">
        <v>48325</v>
      </c>
      <c r="E564">
        <v>2623</v>
      </c>
      <c r="F564">
        <v>27</v>
      </c>
      <c r="G564" s="2">
        <v>1.03E-2</v>
      </c>
      <c r="H564" s="2">
        <f>Table1[[#This Row],[İade Miktarı]]/Table1[[#This Row],[Satış Miktarı]]</f>
        <v>1.0293556995806329E-2</v>
      </c>
      <c r="I564" t="s">
        <v>18</v>
      </c>
      <c r="J564">
        <v>47</v>
      </c>
      <c r="K564">
        <f>Table1[[#This Row],[Satış Miktarı]]*Table1[[#This Row],[Satış Fiyatı]]</f>
        <v>123281</v>
      </c>
      <c r="L564" t="s">
        <v>19</v>
      </c>
      <c r="M564" t="s">
        <v>30</v>
      </c>
      <c r="N564" t="s">
        <v>65</v>
      </c>
      <c r="O564">
        <v>0.2</v>
      </c>
      <c r="P564" t="s">
        <v>22</v>
      </c>
      <c r="Q564" t="s">
        <v>83</v>
      </c>
    </row>
    <row r="565" spans="1:17">
      <c r="A565">
        <v>880150394</v>
      </c>
      <c r="B565" t="s">
        <v>63</v>
      </c>
      <c r="C565" t="s">
        <v>17</v>
      </c>
      <c r="D565" s="1">
        <v>48068</v>
      </c>
      <c r="E565">
        <v>4142</v>
      </c>
      <c r="F565">
        <v>50</v>
      </c>
      <c r="G565" s="2">
        <v>1.21E-2</v>
      </c>
      <c r="H565" s="2">
        <f>Table1[[#This Row],[İade Miktarı]]/Table1[[#This Row],[Satış Miktarı]]</f>
        <v>1.2071463061323033E-2</v>
      </c>
      <c r="I565" t="s">
        <v>18</v>
      </c>
      <c r="J565">
        <v>28</v>
      </c>
      <c r="K565">
        <f>Table1[[#This Row],[Satış Miktarı]]*Table1[[#This Row],[Satış Fiyatı]]</f>
        <v>115976</v>
      </c>
      <c r="L565" t="s">
        <v>19</v>
      </c>
      <c r="M565" t="s">
        <v>35</v>
      </c>
      <c r="N565" t="s">
        <v>61</v>
      </c>
      <c r="O565">
        <v>0.2</v>
      </c>
      <c r="P565" t="s">
        <v>27</v>
      </c>
      <c r="Q565" t="s">
        <v>56</v>
      </c>
    </row>
    <row r="566" spans="1:17">
      <c r="A566">
        <v>476695858</v>
      </c>
      <c r="B566" t="s">
        <v>29</v>
      </c>
      <c r="C566" t="s">
        <v>17</v>
      </c>
      <c r="D566" s="1">
        <v>48497</v>
      </c>
      <c r="E566">
        <v>3229</v>
      </c>
      <c r="F566">
        <v>44</v>
      </c>
      <c r="G566" s="2">
        <v>1.3599999999999999E-2</v>
      </c>
      <c r="H566" s="2">
        <f>Table1[[#This Row],[İade Miktarı]]/Table1[[#This Row],[Satış Miktarı]]</f>
        <v>1.3626509755342211E-2</v>
      </c>
      <c r="I566" t="s">
        <v>18</v>
      </c>
      <c r="J566">
        <v>35</v>
      </c>
      <c r="K566">
        <f>Table1[[#This Row],[Satış Miktarı]]*Table1[[#This Row],[Satış Fiyatı]]</f>
        <v>113015</v>
      </c>
      <c r="L566" t="s">
        <v>19</v>
      </c>
      <c r="M566" t="s">
        <v>38</v>
      </c>
      <c r="N566" t="s">
        <v>26</v>
      </c>
      <c r="O566">
        <v>0.2</v>
      </c>
      <c r="P566" t="s">
        <v>22</v>
      </c>
      <c r="Q566" t="s">
        <v>69</v>
      </c>
    </row>
    <row r="567" spans="1:17">
      <c r="A567">
        <v>51693764</v>
      </c>
      <c r="B567" t="s">
        <v>33</v>
      </c>
      <c r="C567" t="s">
        <v>34</v>
      </c>
      <c r="D567" s="1">
        <v>47716</v>
      </c>
      <c r="E567">
        <v>1532</v>
      </c>
      <c r="F567">
        <v>33</v>
      </c>
      <c r="G567" s="2">
        <v>2.1499999999999998E-2</v>
      </c>
      <c r="H567" s="2">
        <f>Table1[[#This Row],[İade Miktarı]]/Table1[[#This Row],[Satış Miktarı]]</f>
        <v>2.1540469973890339E-2</v>
      </c>
      <c r="I567" t="s">
        <v>18</v>
      </c>
      <c r="J567">
        <v>42</v>
      </c>
      <c r="K567">
        <f>Table1[[#This Row],[Satış Miktarı]]*Table1[[#This Row],[Satış Fiyatı]]</f>
        <v>64344</v>
      </c>
      <c r="L567" t="s">
        <v>19</v>
      </c>
      <c r="M567" t="s">
        <v>42</v>
      </c>
      <c r="N567" t="s">
        <v>21</v>
      </c>
      <c r="O567">
        <v>0.2</v>
      </c>
      <c r="P567" t="s">
        <v>27</v>
      </c>
      <c r="Q567" t="s">
        <v>75</v>
      </c>
    </row>
    <row r="568" spans="1:17">
      <c r="A568">
        <v>451222750</v>
      </c>
      <c r="B568" t="s">
        <v>37</v>
      </c>
      <c r="C568" t="s">
        <v>34</v>
      </c>
      <c r="D568" s="1">
        <v>48355</v>
      </c>
      <c r="E568">
        <v>2036</v>
      </c>
      <c r="F568">
        <v>33</v>
      </c>
      <c r="G568" s="2">
        <v>1.6199999999999999E-2</v>
      </c>
      <c r="H568" s="2">
        <f>Table1[[#This Row],[İade Miktarı]]/Table1[[#This Row],[Satış Miktarı]]</f>
        <v>1.6208251473477406E-2</v>
      </c>
      <c r="I568" t="s">
        <v>18</v>
      </c>
      <c r="J568">
        <v>48</v>
      </c>
      <c r="K568">
        <f>Table1[[#This Row],[Satış Miktarı]]*Table1[[#This Row],[Satış Fiyatı]]</f>
        <v>97728</v>
      </c>
      <c r="L568" t="s">
        <v>19</v>
      </c>
      <c r="M568" t="s">
        <v>46</v>
      </c>
      <c r="N568" t="s">
        <v>26</v>
      </c>
      <c r="O568">
        <v>0.2</v>
      </c>
      <c r="P568" t="s">
        <v>22</v>
      </c>
      <c r="Q568" t="s">
        <v>32</v>
      </c>
    </row>
    <row r="569" spans="1:17">
      <c r="A569">
        <v>804372215</v>
      </c>
      <c r="B569" t="s">
        <v>41</v>
      </c>
      <c r="C569" t="s">
        <v>17</v>
      </c>
      <c r="D569" s="1">
        <v>48328</v>
      </c>
      <c r="E569">
        <v>4751</v>
      </c>
      <c r="F569">
        <v>41</v>
      </c>
      <c r="G569" s="2">
        <v>8.6E-3</v>
      </c>
      <c r="H569" s="2">
        <f>Table1[[#This Row],[İade Miktarı]]/Table1[[#This Row],[Satış Miktarı]]</f>
        <v>8.6297621553357191E-3</v>
      </c>
      <c r="I569" t="s">
        <v>18</v>
      </c>
      <c r="J569">
        <v>45</v>
      </c>
      <c r="K569">
        <f>Table1[[#This Row],[Satış Miktarı]]*Table1[[#This Row],[Satış Fiyatı]]</f>
        <v>213795</v>
      </c>
      <c r="L569" t="s">
        <v>19</v>
      </c>
      <c r="M569" t="s">
        <v>46</v>
      </c>
      <c r="N569" t="s">
        <v>76</v>
      </c>
      <c r="O569">
        <v>0.2</v>
      </c>
      <c r="P569" t="s">
        <v>27</v>
      </c>
      <c r="Q569" t="s">
        <v>53</v>
      </c>
    </row>
    <row r="570" spans="1:17">
      <c r="A570">
        <v>705722433</v>
      </c>
      <c r="B570" t="s">
        <v>44</v>
      </c>
      <c r="C570" t="s">
        <v>17</v>
      </c>
      <c r="D570" s="1">
        <v>48286</v>
      </c>
      <c r="E570">
        <v>4387</v>
      </c>
      <c r="F570">
        <v>24</v>
      </c>
      <c r="G570" s="2">
        <v>5.4999999999999997E-3</v>
      </c>
      <c r="H570" s="2">
        <f>Table1[[#This Row],[İade Miktarı]]/Table1[[#This Row],[Satış Miktarı]]</f>
        <v>5.4707089126966035E-3</v>
      </c>
      <c r="I570" t="s">
        <v>18</v>
      </c>
      <c r="J570">
        <v>44</v>
      </c>
      <c r="K570">
        <f>Table1[[#This Row],[Satış Miktarı]]*Table1[[#This Row],[Satış Fiyatı]]</f>
        <v>193028</v>
      </c>
      <c r="L570" t="s">
        <v>19</v>
      </c>
      <c r="M570" t="s">
        <v>52</v>
      </c>
      <c r="N570" t="s">
        <v>76</v>
      </c>
      <c r="O570">
        <v>0.2</v>
      </c>
      <c r="P570" t="s">
        <v>22</v>
      </c>
      <c r="Q570" t="s">
        <v>72</v>
      </c>
    </row>
    <row r="571" spans="1:17">
      <c r="A571">
        <v>230883324</v>
      </c>
      <c r="B571" t="s">
        <v>49</v>
      </c>
      <c r="C571" t="s">
        <v>34</v>
      </c>
      <c r="D571" s="1">
        <v>47786</v>
      </c>
      <c r="E571">
        <v>1954</v>
      </c>
      <c r="F571">
        <v>27</v>
      </c>
      <c r="G571" s="2">
        <v>1.38E-2</v>
      </c>
      <c r="H571" s="2">
        <f>Table1[[#This Row],[İade Miktarı]]/Table1[[#This Row],[Satış Miktarı]]</f>
        <v>1.3817809621289662E-2</v>
      </c>
      <c r="I571" t="s">
        <v>18</v>
      </c>
      <c r="J571">
        <v>24</v>
      </c>
      <c r="K571">
        <f>Table1[[#This Row],[Satış Miktarı]]*Table1[[#This Row],[Satış Fiyatı]]</f>
        <v>46896</v>
      </c>
      <c r="L571" t="s">
        <v>19</v>
      </c>
      <c r="M571" t="s">
        <v>55</v>
      </c>
      <c r="N571" t="s">
        <v>43</v>
      </c>
      <c r="O571">
        <v>0.2</v>
      </c>
      <c r="P571" t="s">
        <v>22</v>
      </c>
      <c r="Q571" t="s">
        <v>83</v>
      </c>
    </row>
    <row r="572" spans="1:17">
      <c r="A572">
        <v>502342042</v>
      </c>
      <c r="B572" t="s">
        <v>51</v>
      </c>
      <c r="C572" t="s">
        <v>17</v>
      </c>
      <c r="D572" s="1">
        <v>47622</v>
      </c>
      <c r="E572">
        <v>1642</v>
      </c>
      <c r="F572">
        <v>16</v>
      </c>
      <c r="G572" s="2">
        <v>9.7000000000000003E-3</v>
      </c>
      <c r="H572" s="2">
        <f>Table1[[#This Row],[İade Miktarı]]/Table1[[#This Row],[Satış Miktarı]]</f>
        <v>9.7442143727161992E-3</v>
      </c>
      <c r="I572" t="s">
        <v>18</v>
      </c>
      <c r="J572">
        <v>42</v>
      </c>
      <c r="K572">
        <f>Table1[[#This Row],[Satış Miktarı]]*Table1[[#This Row],[Satış Fiyatı]]</f>
        <v>68964</v>
      </c>
      <c r="L572" t="s">
        <v>19</v>
      </c>
      <c r="M572" t="s">
        <v>58</v>
      </c>
      <c r="N572" t="s">
        <v>61</v>
      </c>
      <c r="O572">
        <v>0.2</v>
      </c>
      <c r="P572" t="s">
        <v>27</v>
      </c>
      <c r="Q572" t="s">
        <v>48</v>
      </c>
    </row>
    <row r="573" spans="1:17">
      <c r="A573">
        <v>545934526</v>
      </c>
      <c r="B573" t="s">
        <v>54</v>
      </c>
      <c r="C573" t="s">
        <v>34</v>
      </c>
      <c r="D573" s="1">
        <v>48336</v>
      </c>
      <c r="E573">
        <v>3497</v>
      </c>
      <c r="F573">
        <v>21</v>
      </c>
      <c r="G573" s="2">
        <v>6.0000000000000001E-3</v>
      </c>
      <c r="H573" s="2">
        <f>Table1[[#This Row],[İade Miktarı]]/Table1[[#This Row],[Satış Miktarı]]</f>
        <v>6.0051472690877891E-3</v>
      </c>
      <c r="I573" t="s">
        <v>18</v>
      </c>
      <c r="J573">
        <v>44</v>
      </c>
      <c r="K573">
        <f>Table1[[#This Row],[Satış Miktarı]]*Table1[[#This Row],[Satış Fiyatı]]</f>
        <v>153868</v>
      </c>
      <c r="L573" t="s">
        <v>19</v>
      </c>
      <c r="M573" t="s">
        <v>60</v>
      </c>
      <c r="N573" t="s">
        <v>31</v>
      </c>
      <c r="O573">
        <v>0.2</v>
      </c>
      <c r="P573" t="s">
        <v>27</v>
      </c>
      <c r="Q573" t="s">
        <v>32</v>
      </c>
    </row>
    <row r="574" spans="1:17">
      <c r="A574">
        <v>136794974</v>
      </c>
      <c r="B574" t="s">
        <v>57</v>
      </c>
      <c r="C574" t="s">
        <v>34</v>
      </c>
      <c r="D574" s="1">
        <v>48305</v>
      </c>
      <c r="E574">
        <v>1917</v>
      </c>
      <c r="F574">
        <v>25</v>
      </c>
      <c r="G574" s="2">
        <v>1.2999999999999999E-2</v>
      </c>
      <c r="H574" s="2">
        <f>Table1[[#This Row],[İade Miktarı]]/Table1[[#This Row],[Satış Miktarı]]</f>
        <v>1.3041210224308816E-2</v>
      </c>
      <c r="I574" t="s">
        <v>18</v>
      </c>
      <c r="J574">
        <v>50</v>
      </c>
      <c r="K574">
        <f>Table1[[#This Row],[Satış Miktarı]]*Table1[[#This Row],[Satış Fiyatı]]</f>
        <v>95850</v>
      </c>
      <c r="L574" t="s">
        <v>19</v>
      </c>
      <c r="M574" t="s">
        <v>64</v>
      </c>
      <c r="N574" t="s">
        <v>43</v>
      </c>
      <c r="O574">
        <v>0.2</v>
      </c>
      <c r="P574" t="s">
        <v>27</v>
      </c>
      <c r="Q574" t="s">
        <v>75</v>
      </c>
    </row>
    <row r="575" spans="1:17">
      <c r="A575">
        <v>717627371</v>
      </c>
      <c r="B575" t="s">
        <v>59</v>
      </c>
      <c r="C575" t="s">
        <v>17</v>
      </c>
      <c r="D575" s="1">
        <v>48397</v>
      </c>
      <c r="E575">
        <v>1489</v>
      </c>
      <c r="F575">
        <v>12</v>
      </c>
      <c r="G575" s="2">
        <v>8.0999999999999996E-3</v>
      </c>
      <c r="H575" s="2">
        <f>Table1[[#This Row],[İade Miktarı]]/Table1[[#This Row],[Satış Miktarı]]</f>
        <v>8.0591000671591667E-3</v>
      </c>
      <c r="I575" t="s">
        <v>18</v>
      </c>
      <c r="J575">
        <v>43</v>
      </c>
      <c r="K575">
        <f>Table1[[#This Row],[Satış Miktarı]]*Table1[[#This Row],[Satış Fiyatı]]</f>
        <v>64027</v>
      </c>
      <c r="L575" t="s">
        <v>19</v>
      </c>
      <c r="M575" t="s">
        <v>68</v>
      </c>
      <c r="N575" t="s">
        <v>26</v>
      </c>
      <c r="O575">
        <v>0.2</v>
      </c>
      <c r="P575" t="s">
        <v>27</v>
      </c>
      <c r="Q575" t="s">
        <v>23</v>
      </c>
    </row>
    <row r="576" spans="1:17">
      <c r="A576">
        <v>435834606</v>
      </c>
      <c r="B576" t="s">
        <v>63</v>
      </c>
      <c r="C576" t="s">
        <v>17</v>
      </c>
      <c r="D576" s="1">
        <v>47701</v>
      </c>
      <c r="E576">
        <v>3318</v>
      </c>
      <c r="F576">
        <v>39</v>
      </c>
      <c r="G576" s="2">
        <v>1.18E-2</v>
      </c>
      <c r="H576" s="2">
        <f>Table1[[#This Row],[İade Miktarı]]/Table1[[#This Row],[Satış Miktarı]]</f>
        <v>1.1754068716094032E-2</v>
      </c>
      <c r="I576" t="s">
        <v>18</v>
      </c>
      <c r="J576">
        <v>22</v>
      </c>
      <c r="K576">
        <f>Table1[[#This Row],[Satış Miktarı]]*Table1[[#This Row],[Satış Fiyatı]]</f>
        <v>72996</v>
      </c>
      <c r="L576" t="s">
        <v>19</v>
      </c>
      <c r="M576" t="s">
        <v>71</v>
      </c>
      <c r="N576" t="s">
        <v>61</v>
      </c>
      <c r="O576">
        <v>0.2</v>
      </c>
      <c r="P576" t="s">
        <v>22</v>
      </c>
      <c r="Q576" t="s">
        <v>40</v>
      </c>
    </row>
    <row r="577" spans="1:17">
      <c r="A577">
        <v>870449213</v>
      </c>
      <c r="B577" t="s">
        <v>67</v>
      </c>
      <c r="C577" t="s">
        <v>17</v>
      </c>
      <c r="D577" s="1">
        <v>48545</v>
      </c>
      <c r="E577">
        <v>4428</v>
      </c>
      <c r="F577">
        <v>20</v>
      </c>
      <c r="G577" s="2">
        <v>4.4999999999999997E-3</v>
      </c>
      <c r="H577" s="2">
        <f>Table1[[#This Row],[İade Miktarı]]/Table1[[#This Row],[Satış Miktarı]]</f>
        <v>4.5167118337850042E-3</v>
      </c>
      <c r="I577" t="s">
        <v>18</v>
      </c>
      <c r="J577">
        <v>46</v>
      </c>
      <c r="K577">
        <f>Table1[[#This Row],[Satış Miktarı]]*Table1[[#This Row],[Satış Fiyatı]]</f>
        <v>203688</v>
      </c>
      <c r="L577" t="s">
        <v>19</v>
      </c>
      <c r="M577" t="s">
        <v>74</v>
      </c>
      <c r="N577" t="s">
        <v>21</v>
      </c>
      <c r="O577">
        <v>0.2</v>
      </c>
      <c r="P577" t="s">
        <v>22</v>
      </c>
      <c r="Q577" t="s">
        <v>36</v>
      </c>
    </row>
    <row r="578" spans="1:17">
      <c r="A578">
        <v>584472547</v>
      </c>
      <c r="B578" t="s">
        <v>70</v>
      </c>
      <c r="C578" t="s">
        <v>17</v>
      </c>
      <c r="D578" s="1">
        <v>47971</v>
      </c>
      <c r="E578">
        <v>4687</v>
      </c>
      <c r="F578">
        <v>22</v>
      </c>
      <c r="G578" s="2">
        <v>4.7000000000000002E-3</v>
      </c>
      <c r="H578" s="2">
        <f>Table1[[#This Row],[İade Miktarı]]/Table1[[#This Row],[Satış Miktarı]]</f>
        <v>4.6938340089609561E-3</v>
      </c>
      <c r="I578" t="s">
        <v>18</v>
      </c>
      <c r="J578">
        <v>22</v>
      </c>
      <c r="K578">
        <f>Table1[[#This Row],[Satış Miktarı]]*Table1[[#This Row],[Satış Fiyatı]]</f>
        <v>103114</v>
      </c>
      <c r="L578" t="s">
        <v>19</v>
      </c>
      <c r="M578" t="s">
        <v>20</v>
      </c>
      <c r="N578" t="s">
        <v>61</v>
      </c>
      <c r="O578">
        <v>0.2</v>
      </c>
      <c r="P578" t="s">
        <v>27</v>
      </c>
      <c r="Q578" t="s">
        <v>36</v>
      </c>
    </row>
    <row r="579" spans="1:17">
      <c r="A579">
        <v>12697449</v>
      </c>
      <c r="B579" t="s">
        <v>73</v>
      </c>
      <c r="C579" t="s">
        <v>17</v>
      </c>
      <c r="D579" s="1">
        <v>47651</v>
      </c>
      <c r="E579">
        <v>4315</v>
      </c>
      <c r="F579">
        <v>48</v>
      </c>
      <c r="G579" s="2">
        <v>1.11E-2</v>
      </c>
      <c r="H579" s="2">
        <f>Table1[[#This Row],[İade Miktarı]]/Table1[[#This Row],[Satış Miktarı]]</f>
        <v>1.1123986095017382E-2</v>
      </c>
      <c r="I579" t="s">
        <v>18</v>
      </c>
      <c r="J579">
        <v>40</v>
      </c>
      <c r="K579">
        <f>Table1[[#This Row],[Satış Miktarı]]*Table1[[#This Row],[Satış Fiyatı]]</f>
        <v>172600</v>
      </c>
      <c r="L579" t="s">
        <v>19</v>
      </c>
      <c r="M579" t="s">
        <v>25</v>
      </c>
      <c r="N579" t="s">
        <v>47</v>
      </c>
      <c r="O579">
        <v>0.2</v>
      </c>
      <c r="P579" t="s">
        <v>22</v>
      </c>
      <c r="Q579" t="s">
        <v>80</v>
      </c>
    </row>
    <row r="580" spans="1:17">
      <c r="A580">
        <v>924558009</v>
      </c>
      <c r="B580" t="s">
        <v>16</v>
      </c>
      <c r="C580" t="s">
        <v>17</v>
      </c>
      <c r="D580" s="1">
        <v>48474</v>
      </c>
      <c r="E580">
        <v>2072</v>
      </c>
      <c r="F580">
        <v>31</v>
      </c>
      <c r="G580" s="2">
        <v>1.4999999999999999E-2</v>
      </c>
      <c r="H580" s="2">
        <f>Table1[[#This Row],[İade Miktarı]]/Table1[[#This Row],[Satış Miktarı]]</f>
        <v>1.4961389961389961E-2</v>
      </c>
      <c r="I580" t="s">
        <v>18</v>
      </c>
      <c r="J580">
        <v>35</v>
      </c>
      <c r="K580">
        <f>Table1[[#This Row],[Satış Miktarı]]*Table1[[#This Row],[Satış Fiyatı]]</f>
        <v>72520</v>
      </c>
      <c r="L580" t="s">
        <v>19</v>
      </c>
      <c r="M580" t="s">
        <v>30</v>
      </c>
      <c r="N580" t="s">
        <v>50</v>
      </c>
      <c r="O580">
        <v>0.2</v>
      </c>
      <c r="P580" t="s">
        <v>22</v>
      </c>
      <c r="Q580" t="s">
        <v>56</v>
      </c>
    </row>
    <row r="581" spans="1:17">
      <c r="A581">
        <v>623823734</v>
      </c>
      <c r="B581" t="s">
        <v>24</v>
      </c>
      <c r="C581" t="s">
        <v>17</v>
      </c>
      <c r="D581" s="1">
        <v>47868</v>
      </c>
      <c r="E581">
        <v>3228</v>
      </c>
      <c r="F581">
        <v>17</v>
      </c>
      <c r="G581" s="2">
        <v>5.3E-3</v>
      </c>
      <c r="H581" s="2">
        <f>Table1[[#This Row],[İade Miktarı]]/Table1[[#This Row],[Satış Miktarı]]</f>
        <v>5.2664188351920693E-3</v>
      </c>
      <c r="I581" t="s">
        <v>18</v>
      </c>
      <c r="J581">
        <v>40</v>
      </c>
      <c r="K581">
        <f>Table1[[#This Row],[Satış Miktarı]]*Table1[[#This Row],[Satış Fiyatı]]</f>
        <v>129120</v>
      </c>
      <c r="L581" t="s">
        <v>19</v>
      </c>
      <c r="M581" t="s">
        <v>35</v>
      </c>
      <c r="N581" t="s">
        <v>78</v>
      </c>
      <c r="O581">
        <v>0.2</v>
      </c>
      <c r="P581" t="s">
        <v>22</v>
      </c>
      <c r="Q581" t="s">
        <v>32</v>
      </c>
    </row>
    <row r="582" spans="1:17">
      <c r="A582">
        <v>171267869</v>
      </c>
      <c r="B582" t="s">
        <v>29</v>
      </c>
      <c r="C582" t="s">
        <v>17</v>
      </c>
      <c r="D582" s="1">
        <v>48210</v>
      </c>
      <c r="E582">
        <v>3422</v>
      </c>
      <c r="F582">
        <v>27</v>
      </c>
      <c r="G582" s="2">
        <v>7.9000000000000008E-3</v>
      </c>
      <c r="H582" s="2">
        <f>Table1[[#This Row],[İade Miktarı]]/Table1[[#This Row],[Satış Miktarı]]</f>
        <v>7.8901227352425485E-3</v>
      </c>
      <c r="I582" t="s">
        <v>45</v>
      </c>
      <c r="J582">
        <v>24</v>
      </c>
      <c r="K582">
        <f>Table1[[#This Row],[Satış Miktarı]]*Table1[[#This Row],[Satış Fiyatı]]</f>
        <v>82128</v>
      </c>
      <c r="L582" t="s">
        <v>19</v>
      </c>
      <c r="M582" t="s">
        <v>38</v>
      </c>
      <c r="N582" t="s">
        <v>61</v>
      </c>
      <c r="O582">
        <v>0.2</v>
      </c>
      <c r="P582" t="s">
        <v>27</v>
      </c>
      <c r="Q582" t="s">
        <v>28</v>
      </c>
    </row>
    <row r="583" spans="1:17">
      <c r="A583">
        <v>154149497</v>
      </c>
      <c r="B583" t="s">
        <v>33</v>
      </c>
      <c r="C583" t="s">
        <v>34</v>
      </c>
      <c r="D583" s="1">
        <v>47515</v>
      </c>
      <c r="E583">
        <v>3310</v>
      </c>
      <c r="F583">
        <v>39</v>
      </c>
      <c r="G583" s="2">
        <v>1.18E-2</v>
      </c>
      <c r="H583" s="2">
        <f>Table1[[#This Row],[İade Miktarı]]/Table1[[#This Row],[Satış Miktarı]]</f>
        <v>1.1782477341389729E-2</v>
      </c>
      <c r="I583" t="s">
        <v>18</v>
      </c>
      <c r="J583">
        <v>43</v>
      </c>
      <c r="K583">
        <f>Table1[[#This Row],[Satış Miktarı]]*Table1[[#This Row],[Satış Fiyatı]]</f>
        <v>142330</v>
      </c>
      <c r="L583" t="s">
        <v>19</v>
      </c>
      <c r="M583" t="s">
        <v>42</v>
      </c>
      <c r="N583" t="s">
        <v>65</v>
      </c>
      <c r="O583">
        <v>0.2</v>
      </c>
      <c r="P583" t="s">
        <v>27</v>
      </c>
      <c r="Q583" t="s">
        <v>36</v>
      </c>
    </row>
    <row r="584" spans="1:17">
      <c r="A584">
        <v>539371108</v>
      </c>
      <c r="B584" t="s">
        <v>37</v>
      </c>
      <c r="C584" t="s">
        <v>34</v>
      </c>
      <c r="D584" s="1">
        <v>48301</v>
      </c>
      <c r="E584">
        <v>2688</v>
      </c>
      <c r="F584">
        <v>40</v>
      </c>
      <c r="G584" s="2">
        <v>1.49E-2</v>
      </c>
      <c r="H584" s="2">
        <f>Table1[[#This Row],[İade Miktarı]]/Table1[[#This Row],[Satış Miktarı]]</f>
        <v>1.488095238095238E-2</v>
      </c>
      <c r="I584" t="s">
        <v>18</v>
      </c>
      <c r="J584">
        <v>34</v>
      </c>
      <c r="K584">
        <f>Table1[[#This Row],[Satış Miktarı]]*Table1[[#This Row],[Satış Fiyatı]]</f>
        <v>91392</v>
      </c>
      <c r="L584" t="s">
        <v>19</v>
      </c>
      <c r="M584" t="s">
        <v>46</v>
      </c>
      <c r="N584" t="s">
        <v>43</v>
      </c>
      <c r="O584">
        <v>0.2</v>
      </c>
      <c r="P584" t="s">
        <v>27</v>
      </c>
      <c r="Q584" t="s">
        <v>48</v>
      </c>
    </row>
    <row r="585" spans="1:17">
      <c r="A585">
        <v>552491928</v>
      </c>
      <c r="B585" t="s">
        <v>41</v>
      </c>
      <c r="C585" t="s">
        <v>17</v>
      </c>
      <c r="D585" s="1">
        <v>47672</v>
      </c>
      <c r="E585">
        <v>1514</v>
      </c>
      <c r="F585">
        <v>14</v>
      </c>
      <c r="G585" s="2">
        <v>9.1999999999999998E-3</v>
      </c>
      <c r="H585" s="2">
        <f>Table1[[#This Row],[İade Miktarı]]/Table1[[#This Row],[Satış Miktarı]]</f>
        <v>9.247027741083224E-3</v>
      </c>
      <c r="I585" t="s">
        <v>18</v>
      </c>
      <c r="J585">
        <v>22</v>
      </c>
      <c r="K585">
        <f>Table1[[#This Row],[Satış Miktarı]]*Table1[[#This Row],[Satış Fiyatı]]</f>
        <v>33308</v>
      </c>
      <c r="L585" t="s">
        <v>19</v>
      </c>
      <c r="M585" t="s">
        <v>46</v>
      </c>
      <c r="N585" t="s">
        <v>26</v>
      </c>
      <c r="O585">
        <v>0.2</v>
      </c>
      <c r="P585" t="s">
        <v>22</v>
      </c>
      <c r="Q585" t="s">
        <v>69</v>
      </c>
    </row>
    <row r="586" spans="1:17">
      <c r="A586">
        <v>726659025</v>
      </c>
      <c r="B586" t="s">
        <v>44</v>
      </c>
      <c r="C586" t="s">
        <v>17</v>
      </c>
      <c r="D586" s="1">
        <v>48402</v>
      </c>
      <c r="E586">
        <v>4777</v>
      </c>
      <c r="F586">
        <v>49</v>
      </c>
      <c r="G586" s="2">
        <v>1.03E-2</v>
      </c>
      <c r="H586" s="2">
        <f>Table1[[#This Row],[İade Miktarı]]/Table1[[#This Row],[Satış Miktarı]]</f>
        <v>1.0257483776428721E-2</v>
      </c>
      <c r="I586" t="s">
        <v>18</v>
      </c>
      <c r="J586">
        <v>36</v>
      </c>
      <c r="K586">
        <f>Table1[[#This Row],[Satış Miktarı]]*Table1[[#This Row],[Satış Fiyatı]]</f>
        <v>171972</v>
      </c>
      <c r="L586" t="s">
        <v>19</v>
      </c>
      <c r="M586" t="s">
        <v>52</v>
      </c>
      <c r="N586" t="s">
        <v>50</v>
      </c>
      <c r="O586">
        <v>0.2</v>
      </c>
      <c r="P586" t="s">
        <v>27</v>
      </c>
      <c r="Q586" t="s">
        <v>23</v>
      </c>
    </row>
    <row r="587" spans="1:17">
      <c r="A587">
        <v>741930424</v>
      </c>
      <c r="B587" t="s">
        <v>49</v>
      </c>
      <c r="C587" t="s">
        <v>34</v>
      </c>
      <c r="D587" s="1">
        <v>47590</v>
      </c>
      <c r="E587">
        <v>2069</v>
      </c>
      <c r="F587">
        <v>45</v>
      </c>
      <c r="G587" s="2">
        <v>2.1700000000000001E-2</v>
      </c>
      <c r="H587" s="2">
        <f>Table1[[#This Row],[İade Miktarı]]/Table1[[#This Row],[Satış Miktarı]]</f>
        <v>2.1749637506041565E-2</v>
      </c>
      <c r="I587" t="s">
        <v>18</v>
      </c>
      <c r="J587">
        <v>39</v>
      </c>
      <c r="K587">
        <f>Table1[[#This Row],[Satış Miktarı]]*Table1[[#This Row],[Satış Fiyatı]]</f>
        <v>80691</v>
      </c>
      <c r="L587" t="s">
        <v>19</v>
      </c>
      <c r="M587" t="s">
        <v>55</v>
      </c>
      <c r="N587" t="s">
        <v>65</v>
      </c>
      <c r="O587">
        <v>0.2</v>
      </c>
      <c r="P587" t="s">
        <v>27</v>
      </c>
      <c r="Q587" t="s">
        <v>28</v>
      </c>
    </row>
    <row r="588" spans="1:17">
      <c r="A588">
        <v>927538153</v>
      </c>
      <c r="B588" t="s">
        <v>51</v>
      </c>
      <c r="C588" t="s">
        <v>17</v>
      </c>
      <c r="D588" s="1">
        <v>47951</v>
      </c>
      <c r="E588">
        <v>1782</v>
      </c>
      <c r="F588">
        <v>27</v>
      </c>
      <c r="G588" s="2">
        <v>1.52E-2</v>
      </c>
      <c r="H588" s="2">
        <f>Table1[[#This Row],[İade Miktarı]]/Table1[[#This Row],[Satış Miktarı]]</f>
        <v>1.5151515151515152E-2</v>
      </c>
      <c r="I588" t="s">
        <v>18</v>
      </c>
      <c r="J588">
        <v>42</v>
      </c>
      <c r="K588">
        <f>Table1[[#This Row],[Satış Miktarı]]*Table1[[#This Row],[Satış Fiyatı]]</f>
        <v>74844</v>
      </c>
      <c r="L588" t="s">
        <v>19</v>
      </c>
      <c r="M588" t="s">
        <v>58</v>
      </c>
      <c r="N588" t="s">
        <v>43</v>
      </c>
      <c r="O588">
        <v>0.2</v>
      </c>
      <c r="P588" t="s">
        <v>27</v>
      </c>
      <c r="Q588" t="s">
        <v>28</v>
      </c>
    </row>
    <row r="589" spans="1:17">
      <c r="A589">
        <v>646985588</v>
      </c>
      <c r="B589" t="s">
        <v>54</v>
      </c>
      <c r="C589" t="s">
        <v>34</v>
      </c>
      <c r="D589" s="1">
        <v>48572</v>
      </c>
      <c r="E589">
        <v>2674</v>
      </c>
      <c r="F589">
        <v>34</v>
      </c>
      <c r="G589" s="2">
        <v>1.2699999999999999E-2</v>
      </c>
      <c r="H589" s="2">
        <f>Table1[[#This Row],[İade Miktarı]]/Table1[[#This Row],[Satış Miktarı]]</f>
        <v>1.2715033657442034E-2</v>
      </c>
      <c r="I589" t="s">
        <v>18</v>
      </c>
      <c r="J589">
        <v>50</v>
      </c>
      <c r="K589">
        <f>Table1[[#This Row],[Satış Miktarı]]*Table1[[#This Row],[Satış Fiyatı]]</f>
        <v>133700</v>
      </c>
      <c r="L589" t="s">
        <v>19</v>
      </c>
      <c r="M589" t="s">
        <v>60</v>
      </c>
      <c r="N589" t="s">
        <v>76</v>
      </c>
      <c r="O589">
        <v>0.2</v>
      </c>
      <c r="P589" t="s">
        <v>27</v>
      </c>
      <c r="Q589" t="s">
        <v>80</v>
      </c>
    </row>
    <row r="590" spans="1:17">
      <c r="A590">
        <v>243554229</v>
      </c>
      <c r="B590" t="s">
        <v>57</v>
      </c>
      <c r="C590" t="s">
        <v>34</v>
      </c>
      <c r="D590" s="1">
        <v>47880</v>
      </c>
      <c r="E590">
        <v>3603</v>
      </c>
      <c r="F590">
        <v>19</v>
      </c>
      <c r="G590" s="2">
        <v>5.3E-3</v>
      </c>
      <c r="H590" s="2">
        <f>Table1[[#This Row],[İade Miktarı]]/Table1[[#This Row],[Satış Miktarı]]</f>
        <v>5.2733832917013597E-3</v>
      </c>
      <c r="I590" t="s">
        <v>18</v>
      </c>
      <c r="J590">
        <v>37</v>
      </c>
      <c r="K590">
        <f>Table1[[#This Row],[Satış Miktarı]]*Table1[[#This Row],[Satış Fiyatı]]</f>
        <v>133311</v>
      </c>
      <c r="L590" t="s">
        <v>19</v>
      </c>
      <c r="M590" t="s">
        <v>64</v>
      </c>
      <c r="N590" t="s">
        <v>61</v>
      </c>
      <c r="O590">
        <v>0.2</v>
      </c>
      <c r="P590" t="s">
        <v>22</v>
      </c>
      <c r="Q590" t="s">
        <v>77</v>
      </c>
    </row>
    <row r="591" spans="1:17">
      <c r="A591">
        <v>425162214</v>
      </c>
      <c r="B591" t="s">
        <v>59</v>
      </c>
      <c r="C591" t="s">
        <v>17</v>
      </c>
      <c r="D591" s="1">
        <v>48407</v>
      </c>
      <c r="E591">
        <v>1363</v>
      </c>
      <c r="F591">
        <v>11</v>
      </c>
      <c r="G591" s="2">
        <v>8.0999999999999996E-3</v>
      </c>
      <c r="H591" s="2">
        <f>Table1[[#This Row],[İade Miktarı]]/Table1[[#This Row],[Satış Miktarı]]</f>
        <v>8.0704328686720464E-3</v>
      </c>
      <c r="I591" t="s">
        <v>18</v>
      </c>
      <c r="J591">
        <v>33</v>
      </c>
      <c r="K591">
        <f>Table1[[#This Row],[Satış Miktarı]]*Table1[[#This Row],[Satış Fiyatı]]</f>
        <v>44979</v>
      </c>
      <c r="L591" t="s">
        <v>19</v>
      </c>
      <c r="M591" t="s">
        <v>68</v>
      </c>
      <c r="N591" t="s">
        <v>43</v>
      </c>
      <c r="O591">
        <v>0.2</v>
      </c>
      <c r="P591" t="s">
        <v>22</v>
      </c>
      <c r="Q591" t="s">
        <v>23</v>
      </c>
    </row>
    <row r="592" spans="1:17">
      <c r="A592">
        <v>994457386</v>
      </c>
      <c r="B592" t="s">
        <v>63</v>
      </c>
      <c r="C592" t="s">
        <v>17</v>
      </c>
      <c r="D592" s="1">
        <v>48226</v>
      </c>
      <c r="E592">
        <v>2363</v>
      </c>
      <c r="F592">
        <v>32</v>
      </c>
      <c r="G592" s="2">
        <v>1.35E-2</v>
      </c>
      <c r="H592" s="2">
        <f>Table1[[#This Row],[İade Miktarı]]/Table1[[#This Row],[Satış Miktarı]]</f>
        <v>1.3542107490478206E-2</v>
      </c>
      <c r="I592" t="s">
        <v>18</v>
      </c>
      <c r="J592">
        <v>44</v>
      </c>
      <c r="K592">
        <f>Table1[[#This Row],[Satış Miktarı]]*Table1[[#This Row],[Satış Fiyatı]]</f>
        <v>103972</v>
      </c>
      <c r="L592" t="s">
        <v>19</v>
      </c>
      <c r="M592" t="s">
        <v>71</v>
      </c>
      <c r="N592" t="s">
        <v>61</v>
      </c>
      <c r="O592">
        <v>0.2</v>
      </c>
      <c r="P592" t="s">
        <v>27</v>
      </c>
      <c r="Q592" t="s">
        <v>56</v>
      </c>
    </row>
    <row r="593" spans="1:17">
      <c r="A593">
        <v>911945639</v>
      </c>
      <c r="B593" t="s">
        <v>67</v>
      </c>
      <c r="C593" t="s">
        <v>17</v>
      </c>
      <c r="D593" s="1">
        <v>47575</v>
      </c>
      <c r="E593">
        <v>1576</v>
      </c>
      <c r="F593">
        <v>42</v>
      </c>
      <c r="G593" s="2">
        <v>2.6599999999999999E-2</v>
      </c>
      <c r="H593" s="2">
        <f>Table1[[#This Row],[İade Miktarı]]/Table1[[#This Row],[Satış Miktarı]]</f>
        <v>2.6649746192893401E-2</v>
      </c>
      <c r="I593" t="s">
        <v>18</v>
      </c>
      <c r="J593">
        <v>27</v>
      </c>
      <c r="K593">
        <f>Table1[[#This Row],[Satış Miktarı]]*Table1[[#This Row],[Satış Fiyatı]]</f>
        <v>42552</v>
      </c>
      <c r="L593" t="s">
        <v>19</v>
      </c>
      <c r="M593" t="s">
        <v>74</v>
      </c>
      <c r="N593" t="s">
        <v>21</v>
      </c>
      <c r="O593">
        <v>0.2</v>
      </c>
      <c r="P593" t="s">
        <v>22</v>
      </c>
      <c r="Q593" t="s">
        <v>72</v>
      </c>
    </row>
    <row r="594" spans="1:17">
      <c r="A594">
        <v>78892393</v>
      </c>
      <c r="B594" t="s">
        <v>70</v>
      </c>
      <c r="C594" t="s">
        <v>17</v>
      </c>
      <c r="D594" s="1">
        <v>48322</v>
      </c>
      <c r="E594">
        <v>4216</v>
      </c>
      <c r="F594">
        <v>48</v>
      </c>
      <c r="G594" s="2">
        <v>1.14E-2</v>
      </c>
      <c r="H594" s="2">
        <f>Table1[[#This Row],[İade Miktarı]]/Table1[[#This Row],[Satış Miktarı]]</f>
        <v>1.1385199240986717E-2</v>
      </c>
      <c r="I594" t="s">
        <v>45</v>
      </c>
      <c r="J594">
        <v>49</v>
      </c>
      <c r="K594">
        <f>Table1[[#This Row],[Satış Miktarı]]*Table1[[#This Row],[Satış Fiyatı]]</f>
        <v>206584</v>
      </c>
      <c r="L594" t="s">
        <v>19</v>
      </c>
      <c r="M594" t="s">
        <v>20</v>
      </c>
      <c r="N594" t="s">
        <v>78</v>
      </c>
      <c r="O594">
        <v>0.2</v>
      </c>
      <c r="P594" t="s">
        <v>22</v>
      </c>
      <c r="Q594" t="s">
        <v>83</v>
      </c>
    </row>
    <row r="595" spans="1:17">
      <c r="A595">
        <v>276073647</v>
      </c>
      <c r="B595" t="s">
        <v>73</v>
      </c>
      <c r="C595" t="s">
        <v>17</v>
      </c>
      <c r="D595" s="1">
        <v>48335</v>
      </c>
      <c r="E595">
        <v>4776</v>
      </c>
      <c r="F595">
        <v>22</v>
      </c>
      <c r="G595" s="2">
        <v>4.5999999999999999E-3</v>
      </c>
      <c r="H595" s="2">
        <f>Table1[[#This Row],[İade Miktarı]]/Table1[[#This Row],[Satış Miktarı]]</f>
        <v>4.6063651591289785E-3</v>
      </c>
      <c r="I595" t="s">
        <v>18</v>
      </c>
      <c r="J595">
        <v>31</v>
      </c>
      <c r="K595">
        <f>Table1[[#This Row],[Satış Miktarı]]*Table1[[#This Row],[Satış Fiyatı]]</f>
        <v>148056</v>
      </c>
      <c r="L595" t="s">
        <v>19</v>
      </c>
      <c r="M595" t="s">
        <v>25</v>
      </c>
      <c r="N595" t="s">
        <v>61</v>
      </c>
      <c r="O595">
        <v>0.2</v>
      </c>
      <c r="P595" t="s">
        <v>27</v>
      </c>
      <c r="Q595" t="s">
        <v>48</v>
      </c>
    </row>
    <row r="596" spans="1:17">
      <c r="A596">
        <v>813511693</v>
      </c>
      <c r="B596" t="s">
        <v>16</v>
      </c>
      <c r="C596" t="s">
        <v>17</v>
      </c>
      <c r="D596" s="1">
        <v>47834</v>
      </c>
      <c r="E596">
        <v>3586</v>
      </c>
      <c r="F596">
        <v>50</v>
      </c>
      <c r="G596" s="2">
        <v>1.3899999999999999E-2</v>
      </c>
      <c r="H596" s="2">
        <f>Table1[[#This Row],[İade Miktarı]]/Table1[[#This Row],[Satış Miktarı]]</f>
        <v>1.3943112102621304E-2</v>
      </c>
      <c r="I596" t="s">
        <v>18</v>
      </c>
      <c r="J596">
        <v>49</v>
      </c>
      <c r="K596">
        <f>Table1[[#This Row],[Satış Miktarı]]*Table1[[#This Row],[Satış Fiyatı]]</f>
        <v>175714</v>
      </c>
      <c r="L596" t="s">
        <v>19</v>
      </c>
      <c r="M596" t="s">
        <v>30</v>
      </c>
      <c r="N596" t="s">
        <v>61</v>
      </c>
      <c r="O596">
        <v>0.2</v>
      </c>
      <c r="P596" t="s">
        <v>22</v>
      </c>
      <c r="Q596" t="s">
        <v>75</v>
      </c>
    </row>
    <row r="597" spans="1:17">
      <c r="A597">
        <v>943093184</v>
      </c>
      <c r="B597" t="s">
        <v>24</v>
      </c>
      <c r="C597" t="s">
        <v>17</v>
      </c>
      <c r="D597" s="1">
        <v>48574</v>
      </c>
      <c r="E597">
        <v>3184</v>
      </c>
      <c r="F597">
        <v>35</v>
      </c>
      <c r="G597" s="2">
        <v>1.0999999999999999E-2</v>
      </c>
      <c r="H597" s="2">
        <f>Table1[[#This Row],[İade Miktarı]]/Table1[[#This Row],[Satış Miktarı]]</f>
        <v>1.099246231155779E-2</v>
      </c>
      <c r="I597" t="s">
        <v>18</v>
      </c>
      <c r="J597">
        <v>20</v>
      </c>
      <c r="K597">
        <f>Table1[[#This Row],[Satış Miktarı]]*Table1[[#This Row],[Satış Fiyatı]]</f>
        <v>63680</v>
      </c>
      <c r="L597" t="s">
        <v>19</v>
      </c>
      <c r="M597" t="s">
        <v>35</v>
      </c>
      <c r="N597" t="s">
        <v>31</v>
      </c>
      <c r="O597">
        <v>0.2</v>
      </c>
      <c r="P597" t="s">
        <v>27</v>
      </c>
      <c r="Q597" t="s">
        <v>80</v>
      </c>
    </row>
    <row r="598" spans="1:17">
      <c r="A598">
        <v>387578502</v>
      </c>
      <c r="B598" t="s">
        <v>29</v>
      </c>
      <c r="C598" t="s">
        <v>17</v>
      </c>
      <c r="D598" s="1">
        <v>47654</v>
      </c>
      <c r="E598">
        <v>1832</v>
      </c>
      <c r="F598">
        <v>21</v>
      </c>
      <c r="G598" s="2">
        <v>1.15E-2</v>
      </c>
      <c r="H598" s="2">
        <f>Table1[[#This Row],[İade Miktarı]]/Table1[[#This Row],[Satış Miktarı]]</f>
        <v>1.146288209606987E-2</v>
      </c>
      <c r="I598" t="s">
        <v>18</v>
      </c>
      <c r="J598">
        <v>30</v>
      </c>
      <c r="K598">
        <f>Table1[[#This Row],[Satış Miktarı]]*Table1[[#This Row],[Satış Fiyatı]]</f>
        <v>54960</v>
      </c>
      <c r="L598" t="s">
        <v>19</v>
      </c>
      <c r="M598" t="s">
        <v>38</v>
      </c>
      <c r="N598" t="s">
        <v>61</v>
      </c>
      <c r="O598">
        <v>0.2</v>
      </c>
      <c r="P598" t="s">
        <v>27</v>
      </c>
      <c r="Q598" t="s">
        <v>66</v>
      </c>
    </row>
    <row r="599" spans="1:17">
      <c r="A599">
        <v>295269372</v>
      </c>
      <c r="B599" t="s">
        <v>33</v>
      </c>
      <c r="C599" t="s">
        <v>34</v>
      </c>
      <c r="D599" s="1">
        <v>47891</v>
      </c>
      <c r="E599">
        <v>3244</v>
      </c>
      <c r="F599">
        <v>36</v>
      </c>
      <c r="G599" s="2">
        <v>1.11E-2</v>
      </c>
      <c r="H599" s="2">
        <f>Table1[[#This Row],[İade Miktarı]]/Table1[[#This Row],[Satış Miktarı]]</f>
        <v>1.1097410604192354E-2</v>
      </c>
      <c r="I599" t="s">
        <v>18</v>
      </c>
      <c r="J599">
        <v>29</v>
      </c>
      <c r="K599">
        <f>Table1[[#This Row],[Satış Miktarı]]*Table1[[#This Row],[Satış Fiyatı]]</f>
        <v>94076</v>
      </c>
      <c r="L599" t="s">
        <v>19</v>
      </c>
      <c r="M599" t="s">
        <v>42</v>
      </c>
      <c r="N599" t="s">
        <v>31</v>
      </c>
      <c r="O599">
        <v>0.2</v>
      </c>
      <c r="P599" t="s">
        <v>27</v>
      </c>
      <c r="Q599" t="s">
        <v>56</v>
      </c>
    </row>
    <row r="600" spans="1:17">
      <c r="A600">
        <v>19517406</v>
      </c>
      <c r="B600" t="s">
        <v>37</v>
      </c>
      <c r="C600" t="s">
        <v>34</v>
      </c>
      <c r="D600" s="1">
        <v>48067</v>
      </c>
      <c r="E600">
        <v>2280</v>
      </c>
      <c r="F600">
        <v>17</v>
      </c>
      <c r="G600" s="2">
        <v>7.4999999999999997E-3</v>
      </c>
      <c r="H600" s="2">
        <f>Table1[[#This Row],[İade Miktarı]]/Table1[[#This Row],[Satış Miktarı]]</f>
        <v>7.4561403508771927E-3</v>
      </c>
      <c r="I600" t="s">
        <v>18</v>
      </c>
      <c r="J600">
        <v>49</v>
      </c>
      <c r="K600">
        <f>Table1[[#This Row],[Satış Miktarı]]*Table1[[#This Row],[Satış Fiyatı]]</f>
        <v>111720</v>
      </c>
      <c r="L600" t="s">
        <v>19</v>
      </c>
      <c r="M600" t="s">
        <v>46</v>
      </c>
      <c r="N600" t="s">
        <v>50</v>
      </c>
      <c r="O600">
        <v>0.2</v>
      </c>
      <c r="P600" t="s">
        <v>22</v>
      </c>
      <c r="Q600" t="s">
        <v>36</v>
      </c>
    </row>
    <row r="601" spans="1:17">
      <c r="A601">
        <v>20850405</v>
      </c>
      <c r="B601" t="s">
        <v>41</v>
      </c>
      <c r="C601" t="s">
        <v>17</v>
      </c>
      <c r="D601" s="1">
        <v>47654</v>
      </c>
      <c r="E601">
        <v>3137</v>
      </c>
      <c r="F601">
        <v>37</v>
      </c>
      <c r="G601" s="2">
        <v>1.18E-2</v>
      </c>
      <c r="H601" s="2">
        <f>Table1[[#This Row],[İade Miktarı]]/Table1[[#This Row],[Satış Miktarı]]</f>
        <v>1.1794708320051004E-2</v>
      </c>
      <c r="I601" t="s">
        <v>18</v>
      </c>
      <c r="J601">
        <v>44</v>
      </c>
      <c r="K601">
        <f>Table1[[#This Row],[Satış Miktarı]]*Table1[[#This Row],[Satış Fiyatı]]</f>
        <v>138028</v>
      </c>
      <c r="L601" t="s">
        <v>19</v>
      </c>
      <c r="M601" t="s">
        <v>46</v>
      </c>
      <c r="N601" t="s">
        <v>43</v>
      </c>
      <c r="O601">
        <v>0.2</v>
      </c>
      <c r="P601" t="s">
        <v>27</v>
      </c>
      <c r="Q601" t="s">
        <v>83</v>
      </c>
    </row>
    <row r="602" spans="1:17">
      <c r="A602">
        <v>246527946</v>
      </c>
      <c r="B602" t="s">
        <v>44</v>
      </c>
      <c r="C602" t="s">
        <v>17</v>
      </c>
      <c r="D602" s="1">
        <v>47485</v>
      </c>
      <c r="E602">
        <v>4984</v>
      </c>
      <c r="F602">
        <v>32</v>
      </c>
      <c r="G602" s="2">
        <v>6.4000000000000003E-3</v>
      </c>
      <c r="H602" s="2">
        <f>Table1[[#This Row],[İade Miktarı]]/Table1[[#This Row],[Satış Miktarı]]</f>
        <v>6.420545746388443E-3</v>
      </c>
      <c r="I602" t="s">
        <v>18</v>
      </c>
      <c r="J602">
        <v>42</v>
      </c>
      <c r="K602">
        <f>Table1[[#This Row],[Satış Miktarı]]*Table1[[#This Row],[Satış Fiyatı]]</f>
        <v>209328</v>
      </c>
      <c r="L602" t="s">
        <v>19</v>
      </c>
      <c r="M602" t="s">
        <v>52</v>
      </c>
      <c r="N602" t="s">
        <v>78</v>
      </c>
      <c r="O602">
        <v>0.2</v>
      </c>
      <c r="P602" t="s">
        <v>22</v>
      </c>
      <c r="Q602" t="s">
        <v>56</v>
      </c>
    </row>
    <row r="603" spans="1:17">
      <c r="A603">
        <v>38031517</v>
      </c>
      <c r="B603" t="s">
        <v>49</v>
      </c>
      <c r="C603" t="s">
        <v>34</v>
      </c>
      <c r="D603" s="1">
        <v>48115</v>
      </c>
      <c r="E603">
        <v>4072</v>
      </c>
      <c r="F603">
        <v>27</v>
      </c>
      <c r="G603" s="2">
        <v>6.6E-3</v>
      </c>
      <c r="H603" s="2">
        <f>Table1[[#This Row],[İade Miktarı]]/Table1[[#This Row],[Satış Miktarı]]</f>
        <v>6.6306483300589388E-3</v>
      </c>
      <c r="I603" t="s">
        <v>18</v>
      </c>
      <c r="J603">
        <v>47</v>
      </c>
      <c r="K603">
        <f>Table1[[#This Row],[Satış Miktarı]]*Table1[[#This Row],[Satış Fiyatı]]</f>
        <v>191384</v>
      </c>
      <c r="L603" t="s">
        <v>19</v>
      </c>
      <c r="M603" t="s">
        <v>55</v>
      </c>
      <c r="N603" t="s">
        <v>76</v>
      </c>
      <c r="O603">
        <v>0.2</v>
      </c>
      <c r="P603" t="s">
        <v>27</v>
      </c>
      <c r="Q603" t="s">
        <v>23</v>
      </c>
    </row>
    <row r="604" spans="1:17">
      <c r="A604">
        <v>25680660</v>
      </c>
      <c r="B604" t="s">
        <v>51</v>
      </c>
      <c r="C604" t="s">
        <v>17</v>
      </c>
      <c r="D604" s="1">
        <v>48392</v>
      </c>
      <c r="E604">
        <v>4039</v>
      </c>
      <c r="F604">
        <v>39</v>
      </c>
      <c r="G604" s="2">
        <v>9.7000000000000003E-3</v>
      </c>
      <c r="H604" s="2">
        <f>Table1[[#This Row],[İade Miktarı]]/Table1[[#This Row],[Satış Miktarı]]</f>
        <v>9.6558554097548894E-3</v>
      </c>
      <c r="I604" t="s">
        <v>18</v>
      </c>
      <c r="J604">
        <v>36</v>
      </c>
      <c r="K604">
        <f>Table1[[#This Row],[Satış Miktarı]]*Table1[[#This Row],[Satış Fiyatı]]</f>
        <v>145404</v>
      </c>
      <c r="L604" t="s">
        <v>19</v>
      </c>
      <c r="M604" t="s">
        <v>58</v>
      </c>
      <c r="N604" t="s">
        <v>43</v>
      </c>
      <c r="O604">
        <v>0.2</v>
      </c>
      <c r="P604" t="s">
        <v>22</v>
      </c>
      <c r="Q604" t="s">
        <v>23</v>
      </c>
    </row>
    <row r="605" spans="1:17">
      <c r="A605">
        <v>201916830</v>
      </c>
      <c r="B605" t="s">
        <v>54</v>
      </c>
      <c r="C605" t="s">
        <v>34</v>
      </c>
      <c r="D605" s="1">
        <v>48087</v>
      </c>
      <c r="E605">
        <v>3668</v>
      </c>
      <c r="F605">
        <v>14</v>
      </c>
      <c r="G605" s="2">
        <v>3.8E-3</v>
      </c>
      <c r="H605" s="2">
        <f>Table1[[#This Row],[İade Miktarı]]/Table1[[#This Row],[Satış Miktarı]]</f>
        <v>3.8167938931297708E-3</v>
      </c>
      <c r="I605" t="s">
        <v>18</v>
      </c>
      <c r="J605">
        <v>27</v>
      </c>
      <c r="K605">
        <f>Table1[[#This Row],[Satış Miktarı]]*Table1[[#This Row],[Satış Fiyatı]]</f>
        <v>99036</v>
      </c>
      <c r="L605" t="s">
        <v>19</v>
      </c>
      <c r="M605" t="s">
        <v>60</v>
      </c>
      <c r="N605" t="s">
        <v>31</v>
      </c>
      <c r="O605">
        <v>0.2</v>
      </c>
      <c r="P605" t="s">
        <v>27</v>
      </c>
      <c r="Q605" t="s">
        <v>28</v>
      </c>
    </row>
    <row r="606" spans="1:17">
      <c r="A606">
        <v>849122570</v>
      </c>
      <c r="B606" t="s">
        <v>57</v>
      </c>
      <c r="C606" t="s">
        <v>34</v>
      </c>
      <c r="D606" s="1">
        <v>47603</v>
      </c>
      <c r="E606">
        <v>4372</v>
      </c>
      <c r="F606">
        <v>41</v>
      </c>
      <c r="G606" s="2">
        <v>9.4000000000000004E-3</v>
      </c>
      <c r="H606" s="2">
        <f>Table1[[#This Row],[İade Miktarı]]/Table1[[#This Row],[Satış Miktarı]]</f>
        <v>9.3778591033851777E-3</v>
      </c>
      <c r="I606" t="s">
        <v>18</v>
      </c>
      <c r="J606">
        <v>47</v>
      </c>
      <c r="K606">
        <f>Table1[[#This Row],[Satış Miktarı]]*Table1[[#This Row],[Satış Fiyatı]]</f>
        <v>205484</v>
      </c>
      <c r="L606" t="s">
        <v>19</v>
      </c>
      <c r="M606" t="s">
        <v>64</v>
      </c>
      <c r="N606" t="s">
        <v>26</v>
      </c>
      <c r="O606">
        <v>0.2</v>
      </c>
      <c r="P606" t="s">
        <v>27</v>
      </c>
      <c r="Q606" t="s">
        <v>75</v>
      </c>
    </row>
    <row r="607" spans="1:17">
      <c r="A607">
        <v>675953484</v>
      </c>
      <c r="B607" t="s">
        <v>59</v>
      </c>
      <c r="C607" t="s">
        <v>17</v>
      </c>
      <c r="D607" s="1">
        <v>48103</v>
      </c>
      <c r="E607">
        <v>2715</v>
      </c>
      <c r="F607">
        <v>27</v>
      </c>
      <c r="G607" s="2">
        <v>9.9000000000000008E-3</v>
      </c>
      <c r="H607" s="2">
        <f>Table1[[#This Row],[İade Miktarı]]/Table1[[#This Row],[Satış Miktarı]]</f>
        <v>9.9447513812154689E-3</v>
      </c>
      <c r="I607" t="s">
        <v>18</v>
      </c>
      <c r="J607">
        <v>48</v>
      </c>
      <c r="K607">
        <f>Table1[[#This Row],[Satış Miktarı]]*Table1[[#This Row],[Satış Fiyatı]]</f>
        <v>130320</v>
      </c>
      <c r="L607" t="s">
        <v>19</v>
      </c>
      <c r="M607" t="s">
        <v>68</v>
      </c>
      <c r="N607" t="s">
        <v>21</v>
      </c>
      <c r="O607">
        <v>0.2</v>
      </c>
      <c r="P607" t="s">
        <v>22</v>
      </c>
      <c r="Q607" t="s">
        <v>56</v>
      </c>
    </row>
    <row r="608" spans="1:17">
      <c r="A608">
        <v>315467638</v>
      </c>
      <c r="B608" t="s">
        <v>63</v>
      </c>
      <c r="C608" t="s">
        <v>17</v>
      </c>
      <c r="D608" s="1">
        <v>48074</v>
      </c>
      <c r="E608">
        <v>3933</v>
      </c>
      <c r="F608">
        <v>11</v>
      </c>
      <c r="G608" s="2">
        <v>2.8E-3</v>
      </c>
      <c r="H608" s="2">
        <f>Table1[[#This Row],[İade Miktarı]]/Table1[[#This Row],[Satış Miktarı]]</f>
        <v>2.7968471904398677E-3</v>
      </c>
      <c r="I608" t="s">
        <v>18</v>
      </c>
      <c r="J608">
        <v>25</v>
      </c>
      <c r="K608">
        <f>Table1[[#This Row],[Satış Miktarı]]*Table1[[#This Row],[Satış Fiyatı]]</f>
        <v>98325</v>
      </c>
      <c r="L608" t="s">
        <v>19</v>
      </c>
      <c r="M608" t="s">
        <v>71</v>
      </c>
      <c r="N608" t="s">
        <v>50</v>
      </c>
      <c r="O608">
        <v>0.2</v>
      </c>
      <c r="P608" t="s">
        <v>22</v>
      </c>
      <c r="Q608" t="s">
        <v>84</v>
      </c>
    </row>
    <row r="609" spans="1:17">
      <c r="A609">
        <v>742463996</v>
      </c>
      <c r="B609" t="s">
        <v>29</v>
      </c>
      <c r="C609" t="s">
        <v>17</v>
      </c>
      <c r="D609" s="1">
        <v>47961</v>
      </c>
      <c r="E609">
        <v>3370</v>
      </c>
      <c r="F609">
        <v>35</v>
      </c>
      <c r="G609" s="2">
        <v>1.04E-2</v>
      </c>
      <c r="H609" s="2">
        <f>Table1[[#This Row],[İade Miktarı]]/Table1[[#This Row],[Satış Miktarı]]</f>
        <v>1.0385756676557863E-2</v>
      </c>
      <c r="I609" t="s">
        <v>18</v>
      </c>
      <c r="J609">
        <v>30</v>
      </c>
      <c r="K609">
        <f>Table1[[#This Row],[Satış Miktarı]]*Table1[[#This Row],[Satış Fiyatı]]</f>
        <v>101100</v>
      </c>
      <c r="L609" t="s">
        <v>19</v>
      </c>
      <c r="M609" t="s">
        <v>74</v>
      </c>
      <c r="N609" t="s">
        <v>43</v>
      </c>
      <c r="O609">
        <v>0.2</v>
      </c>
      <c r="P609" t="s">
        <v>22</v>
      </c>
      <c r="Q609" t="s">
        <v>40</v>
      </c>
    </row>
    <row r="610" spans="1:17">
      <c r="A610">
        <v>953831038</v>
      </c>
      <c r="B610" t="s">
        <v>33</v>
      </c>
      <c r="C610" t="s">
        <v>34</v>
      </c>
      <c r="D610" s="1">
        <v>48149</v>
      </c>
      <c r="E610">
        <v>4019</v>
      </c>
      <c r="F610">
        <v>22</v>
      </c>
      <c r="G610" s="2">
        <v>5.4999999999999997E-3</v>
      </c>
      <c r="H610" s="2">
        <f>Table1[[#This Row],[İade Miktarı]]/Table1[[#This Row],[Satış Miktarı]]</f>
        <v>5.4739985070913159E-3</v>
      </c>
      <c r="I610" t="s">
        <v>18</v>
      </c>
      <c r="J610">
        <v>33</v>
      </c>
      <c r="K610">
        <f>Table1[[#This Row],[Satış Miktarı]]*Table1[[#This Row],[Satış Fiyatı]]</f>
        <v>132627</v>
      </c>
      <c r="L610" t="s">
        <v>19</v>
      </c>
      <c r="M610" t="s">
        <v>20</v>
      </c>
      <c r="N610" t="s">
        <v>21</v>
      </c>
      <c r="O610">
        <v>0.2</v>
      </c>
      <c r="P610" t="s">
        <v>22</v>
      </c>
      <c r="Q610" t="s">
        <v>56</v>
      </c>
    </row>
    <row r="611" spans="1:17">
      <c r="A611">
        <v>792138493</v>
      </c>
      <c r="B611" t="s">
        <v>37</v>
      </c>
      <c r="C611" t="s">
        <v>34</v>
      </c>
      <c r="D611" s="1">
        <v>47720</v>
      </c>
      <c r="E611">
        <v>4811</v>
      </c>
      <c r="F611">
        <v>32</v>
      </c>
      <c r="G611" s="2">
        <v>6.7000000000000002E-3</v>
      </c>
      <c r="H611" s="2">
        <f>Table1[[#This Row],[İade Miktarı]]/Table1[[#This Row],[Satış Miktarı]]</f>
        <v>6.6514238204115565E-3</v>
      </c>
      <c r="I611" t="s">
        <v>18</v>
      </c>
      <c r="J611">
        <v>29</v>
      </c>
      <c r="K611">
        <f>Table1[[#This Row],[Satış Miktarı]]*Table1[[#This Row],[Satış Fiyatı]]</f>
        <v>139519</v>
      </c>
      <c r="L611" t="s">
        <v>19</v>
      </c>
      <c r="M611" t="s">
        <v>25</v>
      </c>
      <c r="N611" t="s">
        <v>31</v>
      </c>
      <c r="O611">
        <v>0.2</v>
      </c>
      <c r="P611" t="s">
        <v>27</v>
      </c>
      <c r="Q611" t="s">
        <v>75</v>
      </c>
    </row>
    <row r="612" spans="1:17">
      <c r="A612">
        <v>569415845</v>
      </c>
      <c r="B612" t="s">
        <v>41</v>
      </c>
      <c r="C612" t="s">
        <v>17</v>
      </c>
      <c r="D612" s="1">
        <v>48253</v>
      </c>
      <c r="E612">
        <v>3942</v>
      </c>
      <c r="F612">
        <v>45</v>
      </c>
      <c r="G612" s="2">
        <v>1.14E-2</v>
      </c>
      <c r="H612" s="2">
        <f>Table1[[#This Row],[İade Miktarı]]/Table1[[#This Row],[Satış Miktarı]]</f>
        <v>1.1415525114155251E-2</v>
      </c>
      <c r="I612" t="s">
        <v>18</v>
      </c>
      <c r="J612">
        <v>50</v>
      </c>
      <c r="K612">
        <f>Table1[[#This Row],[Satış Miktarı]]*Table1[[#This Row],[Satış Fiyatı]]</f>
        <v>197100</v>
      </c>
      <c r="L612" t="s">
        <v>19</v>
      </c>
      <c r="M612" t="s">
        <v>30</v>
      </c>
      <c r="N612" t="s">
        <v>26</v>
      </c>
      <c r="O612">
        <v>0.2</v>
      </c>
      <c r="P612" t="s">
        <v>27</v>
      </c>
      <c r="Q612" t="s">
        <v>66</v>
      </c>
    </row>
    <row r="613" spans="1:17">
      <c r="A613">
        <v>533671115</v>
      </c>
      <c r="B613" t="s">
        <v>44</v>
      </c>
      <c r="C613" t="s">
        <v>17</v>
      </c>
      <c r="D613" s="1">
        <v>47840</v>
      </c>
      <c r="E613">
        <v>4541</v>
      </c>
      <c r="F613">
        <v>50</v>
      </c>
      <c r="G613" s="2">
        <v>1.0999999999999999E-2</v>
      </c>
      <c r="H613" s="2">
        <f>Table1[[#This Row],[İade Miktarı]]/Table1[[#This Row],[Satış Miktarı]]</f>
        <v>1.1010790574763268E-2</v>
      </c>
      <c r="I613" t="s">
        <v>18</v>
      </c>
      <c r="J613">
        <v>48</v>
      </c>
      <c r="K613">
        <f>Table1[[#This Row],[Satış Miktarı]]*Table1[[#This Row],[Satış Fiyatı]]</f>
        <v>217968</v>
      </c>
      <c r="L613" t="s">
        <v>19</v>
      </c>
      <c r="M613" t="s">
        <v>35</v>
      </c>
      <c r="N613" t="s">
        <v>61</v>
      </c>
      <c r="O613">
        <v>0.2</v>
      </c>
      <c r="P613" t="s">
        <v>22</v>
      </c>
      <c r="Q613" t="s">
        <v>83</v>
      </c>
    </row>
    <row r="614" spans="1:17">
      <c r="A614">
        <v>219828040</v>
      </c>
      <c r="B614" t="s">
        <v>49</v>
      </c>
      <c r="C614" t="s">
        <v>34</v>
      </c>
      <c r="D614" s="1">
        <v>48468</v>
      </c>
      <c r="E614">
        <v>2831</v>
      </c>
      <c r="F614">
        <v>37</v>
      </c>
      <c r="G614" s="2">
        <v>1.3100000000000001E-2</v>
      </c>
      <c r="H614" s="2">
        <f>Table1[[#This Row],[İade Miktarı]]/Table1[[#This Row],[Satış Miktarı]]</f>
        <v>1.3069586718474038E-2</v>
      </c>
      <c r="I614" t="s">
        <v>18</v>
      </c>
      <c r="J614">
        <v>21</v>
      </c>
      <c r="K614">
        <f>Table1[[#This Row],[Satış Miktarı]]*Table1[[#This Row],[Satış Fiyatı]]</f>
        <v>59451</v>
      </c>
      <c r="L614" t="s">
        <v>19</v>
      </c>
      <c r="M614" t="s">
        <v>38</v>
      </c>
      <c r="N614" t="s">
        <v>26</v>
      </c>
      <c r="O614">
        <v>0.2</v>
      </c>
      <c r="P614" t="s">
        <v>27</v>
      </c>
      <c r="Q614" t="s">
        <v>53</v>
      </c>
    </row>
    <row r="615" spans="1:17">
      <c r="A615">
        <v>641743385</v>
      </c>
      <c r="B615" t="s">
        <v>51</v>
      </c>
      <c r="C615" t="s">
        <v>17</v>
      </c>
      <c r="D615" s="1">
        <v>47545</v>
      </c>
      <c r="E615">
        <v>1159</v>
      </c>
      <c r="F615">
        <v>28</v>
      </c>
      <c r="G615" s="2">
        <v>2.4199999999999999E-2</v>
      </c>
      <c r="H615" s="2">
        <f>Table1[[#This Row],[İade Miktarı]]/Table1[[#This Row],[Satış Miktarı]]</f>
        <v>2.4158757549611734E-2</v>
      </c>
      <c r="I615" t="s">
        <v>18</v>
      </c>
      <c r="J615">
        <v>33</v>
      </c>
      <c r="K615">
        <f>Table1[[#This Row],[Satış Miktarı]]*Table1[[#This Row],[Satış Fiyatı]]</f>
        <v>38247</v>
      </c>
      <c r="L615" t="s">
        <v>19</v>
      </c>
      <c r="M615" t="s">
        <v>42</v>
      </c>
      <c r="N615" t="s">
        <v>21</v>
      </c>
      <c r="O615">
        <v>0.2</v>
      </c>
      <c r="P615" t="s">
        <v>27</v>
      </c>
      <c r="Q615" t="s">
        <v>75</v>
      </c>
    </row>
    <row r="616" spans="1:17">
      <c r="A616">
        <v>850697994</v>
      </c>
      <c r="B616" t="s">
        <v>54</v>
      </c>
      <c r="C616" t="s">
        <v>34</v>
      </c>
      <c r="D616" s="1">
        <v>47622</v>
      </c>
      <c r="E616">
        <v>1594</v>
      </c>
      <c r="F616">
        <v>15</v>
      </c>
      <c r="G616" s="2">
        <v>9.4000000000000004E-3</v>
      </c>
      <c r="H616" s="2">
        <f>Table1[[#This Row],[İade Miktarı]]/Table1[[#This Row],[Satış Miktarı]]</f>
        <v>9.4102885821831864E-3</v>
      </c>
      <c r="I616" t="s">
        <v>45</v>
      </c>
      <c r="J616">
        <v>22</v>
      </c>
      <c r="K616">
        <f>Table1[[#This Row],[Satış Miktarı]]*Table1[[#This Row],[Satış Fiyatı]]</f>
        <v>35068</v>
      </c>
      <c r="L616" t="s">
        <v>19</v>
      </c>
      <c r="M616" t="s">
        <v>46</v>
      </c>
      <c r="N616" t="s">
        <v>31</v>
      </c>
      <c r="O616">
        <v>0.2</v>
      </c>
      <c r="P616" t="s">
        <v>22</v>
      </c>
      <c r="Q616" t="s">
        <v>56</v>
      </c>
    </row>
    <row r="617" spans="1:17">
      <c r="A617">
        <v>688884610</v>
      </c>
      <c r="B617" t="s">
        <v>57</v>
      </c>
      <c r="C617" t="s">
        <v>34</v>
      </c>
      <c r="D617" s="1">
        <v>48172</v>
      </c>
      <c r="E617">
        <v>4146</v>
      </c>
      <c r="F617">
        <v>39</v>
      </c>
      <c r="G617" s="2">
        <v>9.4000000000000004E-3</v>
      </c>
      <c r="H617" s="2">
        <f>Table1[[#This Row],[İade Miktarı]]/Table1[[#This Row],[Satış Miktarı]]</f>
        <v>9.4066570188133143E-3</v>
      </c>
      <c r="I617" t="s">
        <v>18</v>
      </c>
      <c r="J617">
        <v>22</v>
      </c>
      <c r="K617">
        <f>Table1[[#This Row],[Satış Miktarı]]*Table1[[#This Row],[Satış Fiyatı]]</f>
        <v>91212</v>
      </c>
      <c r="L617" t="s">
        <v>19</v>
      </c>
      <c r="M617" t="s">
        <v>46</v>
      </c>
      <c r="N617" t="s">
        <v>65</v>
      </c>
      <c r="O617">
        <v>0.2</v>
      </c>
      <c r="P617" t="s">
        <v>22</v>
      </c>
      <c r="Q617" t="s">
        <v>66</v>
      </c>
    </row>
    <row r="618" spans="1:17">
      <c r="A618">
        <v>547557786</v>
      </c>
      <c r="B618" t="s">
        <v>59</v>
      </c>
      <c r="C618" t="s">
        <v>17</v>
      </c>
      <c r="D618" s="1">
        <v>47719</v>
      </c>
      <c r="E618">
        <v>3008</v>
      </c>
      <c r="F618">
        <v>19</v>
      </c>
      <c r="G618" s="2">
        <v>6.3E-3</v>
      </c>
      <c r="H618" s="2">
        <f>Table1[[#This Row],[İade Miktarı]]/Table1[[#This Row],[Satış Miktarı]]</f>
        <v>6.3164893617021272E-3</v>
      </c>
      <c r="I618" t="s">
        <v>18</v>
      </c>
      <c r="J618">
        <v>22</v>
      </c>
      <c r="K618">
        <f>Table1[[#This Row],[Satış Miktarı]]*Table1[[#This Row],[Satış Fiyatı]]</f>
        <v>66176</v>
      </c>
      <c r="L618" t="s">
        <v>19</v>
      </c>
      <c r="M618" t="s">
        <v>52</v>
      </c>
      <c r="N618" t="s">
        <v>65</v>
      </c>
      <c r="O618">
        <v>0.2</v>
      </c>
      <c r="P618" t="s">
        <v>22</v>
      </c>
      <c r="Q618" t="s">
        <v>83</v>
      </c>
    </row>
    <row r="619" spans="1:17">
      <c r="A619">
        <v>708403838</v>
      </c>
      <c r="B619" t="s">
        <v>63</v>
      </c>
      <c r="C619" t="s">
        <v>17</v>
      </c>
      <c r="D619" s="1">
        <v>48564</v>
      </c>
      <c r="E619">
        <v>2832</v>
      </c>
      <c r="F619">
        <v>40</v>
      </c>
      <c r="G619" s="2">
        <v>1.41E-2</v>
      </c>
      <c r="H619" s="2">
        <f>Table1[[#This Row],[İade Miktarı]]/Table1[[#This Row],[Satış Miktarı]]</f>
        <v>1.4124293785310734E-2</v>
      </c>
      <c r="I619" t="s">
        <v>18</v>
      </c>
      <c r="J619">
        <v>20</v>
      </c>
      <c r="K619">
        <f>Table1[[#This Row],[Satış Miktarı]]*Table1[[#This Row],[Satış Fiyatı]]</f>
        <v>56640</v>
      </c>
      <c r="L619" t="s">
        <v>19</v>
      </c>
      <c r="M619" t="s">
        <v>55</v>
      </c>
      <c r="N619" t="s">
        <v>78</v>
      </c>
      <c r="O619">
        <v>0.2</v>
      </c>
      <c r="P619" t="s">
        <v>27</v>
      </c>
      <c r="Q619" t="s">
        <v>82</v>
      </c>
    </row>
    <row r="620" spans="1:17">
      <c r="A620">
        <v>605589590</v>
      </c>
      <c r="B620" t="s">
        <v>67</v>
      </c>
      <c r="C620" t="s">
        <v>17</v>
      </c>
      <c r="D620" s="1">
        <v>48410</v>
      </c>
      <c r="E620">
        <v>1662</v>
      </c>
      <c r="F620">
        <v>27</v>
      </c>
      <c r="G620" s="2">
        <v>1.6199999999999999E-2</v>
      </c>
      <c r="H620" s="2">
        <f>Table1[[#This Row],[İade Miktarı]]/Table1[[#This Row],[Satış Miktarı]]</f>
        <v>1.6245487364620937E-2</v>
      </c>
      <c r="I620" t="s">
        <v>18</v>
      </c>
      <c r="J620">
        <v>41</v>
      </c>
      <c r="K620">
        <f>Table1[[#This Row],[Satış Miktarı]]*Table1[[#This Row],[Satış Fiyatı]]</f>
        <v>68142</v>
      </c>
      <c r="L620" t="s">
        <v>19</v>
      </c>
      <c r="M620" t="s">
        <v>58</v>
      </c>
      <c r="N620" t="s">
        <v>39</v>
      </c>
      <c r="O620">
        <v>0.2</v>
      </c>
      <c r="P620" t="s">
        <v>22</v>
      </c>
      <c r="Q620" t="s">
        <v>53</v>
      </c>
    </row>
    <row r="621" spans="1:17">
      <c r="A621">
        <v>626668653</v>
      </c>
      <c r="B621" t="s">
        <v>70</v>
      </c>
      <c r="C621" t="s">
        <v>17</v>
      </c>
      <c r="D621" s="1">
        <v>47801</v>
      </c>
      <c r="E621">
        <v>4624</v>
      </c>
      <c r="F621">
        <v>25</v>
      </c>
      <c r="G621" s="2">
        <v>5.4000000000000003E-3</v>
      </c>
      <c r="H621" s="2">
        <f>Table1[[#This Row],[İade Miktarı]]/Table1[[#This Row],[Satış Miktarı]]</f>
        <v>5.4065743944636674E-3</v>
      </c>
      <c r="I621" t="s">
        <v>18</v>
      </c>
      <c r="J621">
        <v>47</v>
      </c>
      <c r="K621">
        <f>Table1[[#This Row],[Satış Miktarı]]*Table1[[#This Row],[Satış Fiyatı]]</f>
        <v>217328</v>
      </c>
      <c r="L621" t="s">
        <v>19</v>
      </c>
      <c r="M621" t="s">
        <v>60</v>
      </c>
      <c r="N621" t="s">
        <v>76</v>
      </c>
      <c r="O621">
        <v>0.2</v>
      </c>
      <c r="P621" t="s">
        <v>22</v>
      </c>
      <c r="Q621" t="s">
        <v>83</v>
      </c>
    </row>
    <row r="622" spans="1:17">
      <c r="A622">
        <v>630499851</v>
      </c>
      <c r="B622" t="s">
        <v>73</v>
      </c>
      <c r="C622" t="s">
        <v>17</v>
      </c>
      <c r="D622" s="1">
        <v>48299</v>
      </c>
      <c r="E622">
        <v>4533</v>
      </c>
      <c r="F622">
        <v>33</v>
      </c>
      <c r="G622" s="2">
        <v>7.3000000000000001E-3</v>
      </c>
      <c r="H622" s="2">
        <f>Table1[[#This Row],[İade Miktarı]]/Table1[[#This Row],[Satış Miktarı]]</f>
        <v>7.2799470549305099E-3</v>
      </c>
      <c r="I622" t="s">
        <v>18</v>
      </c>
      <c r="J622">
        <v>22</v>
      </c>
      <c r="K622">
        <f>Table1[[#This Row],[Satış Miktarı]]*Table1[[#This Row],[Satış Fiyatı]]</f>
        <v>99726</v>
      </c>
      <c r="L622" t="s">
        <v>19</v>
      </c>
      <c r="M622" t="s">
        <v>64</v>
      </c>
      <c r="N622" t="s">
        <v>21</v>
      </c>
      <c r="O622">
        <v>0.2</v>
      </c>
      <c r="P622" t="s">
        <v>27</v>
      </c>
      <c r="Q622" t="s">
        <v>83</v>
      </c>
    </row>
    <row r="623" spans="1:17">
      <c r="A623">
        <v>544775843</v>
      </c>
      <c r="B623" t="s">
        <v>16</v>
      </c>
      <c r="C623" t="s">
        <v>17</v>
      </c>
      <c r="D623" s="1">
        <v>47681</v>
      </c>
      <c r="E623">
        <v>1126</v>
      </c>
      <c r="F623">
        <v>39</v>
      </c>
      <c r="G623" s="2">
        <v>3.4599999999999999E-2</v>
      </c>
      <c r="H623" s="2">
        <f>Table1[[#This Row],[İade Miktarı]]/Table1[[#This Row],[Satış Miktarı]]</f>
        <v>3.4635879218472471E-2</v>
      </c>
      <c r="I623" t="s">
        <v>18</v>
      </c>
      <c r="J623">
        <v>50</v>
      </c>
      <c r="K623">
        <f>Table1[[#This Row],[Satış Miktarı]]*Table1[[#This Row],[Satış Fiyatı]]</f>
        <v>56300</v>
      </c>
      <c r="L623" t="s">
        <v>19</v>
      </c>
      <c r="M623" t="s">
        <v>68</v>
      </c>
      <c r="N623" t="s">
        <v>76</v>
      </c>
      <c r="O623">
        <v>0.2</v>
      </c>
      <c r="P623" t="s">
        <v>27</v>
      </c>
      <c r="Q623" t="s">
        <v>62</v>
      </c>
    </row>
    <row r="624" spans="1:17">
      <c r="A624">
        <v>262973964</v>
      </c>
      <c r="B624" t="s">
        <v>24</v>
      </c>
      <c r="C624" t="s">
        <v>17</v>
      </c>
      <c r="D624" s="1">
        <v>48190</v>
      </c>
      <c r="E624">
        <v>2624</v>
      </c>
      <c r="F624">
        <v>31</v>
      </c>
      <c r="G624" s="2">
        <v>1.18E-2</v>
      </c>
      <c r="H624" s="2">
        <f>Table1[[#This Row],[İade Miktarı]]/Table1[[#This Row],[Satış Miktarı]]</f>
        <v>1.1814024390243903E-2</v>
      </c>
      <c r="I624" t="s">
        <v>18</v>
      </c>
      <c r="J624">
        <v>31</v>
      </c>
      <c r="K624">
        <f>Table1[[#This Row],[Satış Miktarı]]*Table1[[#This Row],[Satış Fiyatı]]</f>
        <v>81344</v>
      </c>
      <c r="L624" t="s">
        <v>19</v>
      </c>
      <c r="M624" t="s">
        <v>71</v>
      </c>
      <c r="N624" t="s">
        <v>65</v>
      </c>
      <c r="O624">
        <v>0.2</v>
      </c>
      <c r="P624" t="s">
        <v>27</v>
      </c>
      <c r="Q624" t="s">
        <v>69</v>
      </c>
    </row>
    <row r="625" spans="1:17">
      <c r="A625">
        <v>196246777</v>
      </c>
      <c r="B625" t="s">
        <v>29</v>
      </c>
      <c r="C625" t="s">
        <v>17</v>
      </c>
      <c r="D625" s="1">
        <v>48294</v>
      </c>
      <c r="E625">
        <v>3709</v>
      </c>
      <c r="F625">
        <v>50</v>
      </c>
      <c r="G625" s="2">
        <v>1.35E-2</v>
      </c>
      <c r="H625" s="2">
        <f>Table1[[#This Row],[İade Miktarı]]/Table1[[#This Row],[Satış Miktarı]]</f>
        <v>1.3480722566729577E-2</v>
      </c>
      <c r="I625" t="s">
        <v>18</v>
      </c>
      <c r="J625">
        <v>38</v>
      </c>
      <c r="K625">
        <f>Table1[[#This Row],[Satış Miktarı]]*Table1[[#This Row],[Satış Fiyatı]]</f>
        <v>140942</v>
      </c>
      <c r="L625" t="s">
        <v>19</v>
      </c>
      <c r="M625" t="s">
        <v>74</v>
      </c>
      <c r="N625" t="s">
        <v>31</v>
      </c>
      <c r="O625">
        <v>0.2</v>
      </c>
      <c r="P625" t="s">
        <v>22</v>
      </c>
      <c r="Q625" t="s">
        <v>77</v>
      </c>
    </row>
    <row r="626" spans="1:17">
      <c r="A626">
        <v>149586616</v>
      </c>
      <c r="B626" t="s">
        <v>33</v>
      </c>
      <c r="C626" t="s">
        <v>34</v>
      </c>
      <c r="D626" s="1">
        <v>48466</v>
      </c>
      <c r="E626">
        <v>1851</v>
      </c>
      <c r="F626">
        <v>26</v>
      </c>
      <c r="G626" s="2">
        <v>1.4E-2</v>
      </c>
      <c r="H626" s="2">
        <f>Table1[[#This Row],[İade Miktarı]]/Table1[[#This Row],[Satış Miktarı]]</f>
        <v>1.4046461372231226E-2</v>
      </c>
      <c r="I626" t="s">
        <v>18</v>
      </c>
      <c r="J626">
        <v>34</v>
      </c>
      <c r="K626">
        <f>Table1[[#This Row],[Satış Miktarı]]*Table1[[#This Row],[Satış Fiyatı]]</f>
        <v>62934</v>
      </c>
      <c r="L626" t="s">
        <v>19</v>
      </c>
      <c r="M626" t="s">
        <v>20</v>
      </c>
      <c r="N626" t="s">
        <v>76</v>
      </c>
      <c r="O626">
        <v>0.2</v>
      </c>
      <c r="P626" t="s">
        <v>22</v>
      </c>
      <c r="Q626" t="s">
        <v>23</v>
      </c>
    </row>
    <row r="627" spans="1:17">
      <c r="A627">
        <v>692268099</v>
      </c>
      <c r="B627" t="s">
        <v>37</v>
      </c>
      <c r="C627" t="s">
        <v>34</v>
      </c>
      <c r="D627" s="1">
        <v>48521</v>
      </c>
      <c r="E627">
        <v>3739</v>
      </c>
      <c r="F627">
        <v>25</v>
      </c>
      <c r="G627" s="2">
        <v>6.7000000000000002E-3</v>
      </c>
      <c r="H627" s="2">
        <f>Table1[[#This Row],[İade Miktarı]]/Table1[[#This Row],[Satış Miktarı]]</f>
        <v>6.6862797539449055E-3</v>
      </c>
      <c r="I627" t="s">
        <v>18</v>
      </c>
      <c r="J627">
        <v>39</v>
      </c>
      <c r="K627">
        <f>Table1[[#This Row],[Satış Miktarı]]*Table1[[#This Row],[Satış Fiyatı]]</f>
        <v>145821</v>
      </c>
      <c r="L627" t="s">
        <v>19</v>
      </c>
      <c r="M627" t="s">
        <v>25</v>
      </c>
      <c r="N627" t="s">
        <v>39</v>
      </c>
      <c r="O627">
        <v>0.2</v>
      </c>
      <c r="P627" t="s">
        <v>22</v>
      </c>
      <c r="Q627" t="s">
        <v>32</v>
      </c>
    </row>
    <row r="628" spans="1:17">
      <c r="A628">
        <v>462621179</v>
      </c>
      <c r="B628" t="s">
        <v>41</v>
      </c>
      <c r="C628" t="s">
        <v>17</v>
      </c>
      <c r="D628" s="1">
        <v>47866</v>
      </c>
      <c r="E628">
        <v>2332</v>
      </c>
      <c r="F628">
        <v>30</v>
      </c>
      <c r="G628" s="2">
        <v>1.29E-2</v>
      </c>
      <c r="H628" s="2">
        <f>Table1[[#This Row],[İade Miktarı]]/Table1[[#This Row],[Satış Miktarı]]</f>
        <v>1.2864493996569469E-2</v>
      </c>
      <c r="I628" t="s">
        <v>18</v>
      </c>
      <c r="J628">
        <v>36</v>
      </c>
      <c r="K628">
        <f>Table1[[#This Row],[Satış Miktarı]]*Table1[[#This Row],[Satış Fiyatı]]</f>
        <v>83952</v>
      </c>
      <c r="L628" t="s">
        <v>19</v>
      </c>
      <c r="M628" t="s">
        <v>30</v>
      </c>
      <c r="N628" t="s">
        <v>31</v>
      </c>
      <c r="O628">
        <v>0.2</v>
      </c>
      <c r="P628" t="s">
        <v>27</v>
      </c>
      <c r="Q628" t="s">
        <v>80</v>
      </c>
    </row>
    <row r="629" spans="1:17">
      <c r="A629">
        <v>80702838</v>
      </c>
      <c r="B629" t="s">
        <v>44</v>
      </c>
      <c r="C629" t="s">
        <v>17</v>
      </c>
      <c r="D629" s="1">
        <v>48170</v>
      </c>
      <c r="E629">
        <v>3125</v>
      </c>
      <c r="F629">
        <v>46</v>
      </c>
      <c r="G629" s="2">
        <v>1.47E-2</v>
      </c>
      <c r="H629" s="2">
        <f>Table1[[#This Row],[İade Miktarı]]/Table1[[#This Row],[Satış Miktarı]]</f>
        <v>1.472E-2</v>
      </c>
      <c r="I629" t="s">
        <v>18</v>
      </c>
      <c r="J629">
        <v>26</v>
      </c>
      <c r="K629">
        <f>Table1[[#This Row],[Satış Miktarı]]*Table1[[#This Row],[Satış Fiyatı]]</f>
        <v>81250</v>
      </c>
      <c r="L629" t="s">
        <v>19</v>
      </c>
      <c r="M629" t="s">
        <v>35</v>
      </c>
      <c r="N629" t="s">
        <v>43</v>
      </c>
      <c r="O629">
        <v>0.2</v>
      </c>
      <c r="P629" t="s">
        <v>27</v>
      </c>
      <c r="Q629" t="s">
        <v>83</v>
      </c>
    </row>
    <row r="630" spans="1:17">
      <c r="A630">
        <v>649940512</v>
      </c>
      <c r="B630" t="s">
        <v>49</v>
      </c>
      <c r="C630" t="s">
        <v>34</v>
      </c>
      <c r="D630" s="1">
        <v>48064</v>
      </c>
      <c r="E630">
        <v>2322</v>
      </c>
      <c r="F630">
        <v>43</v>
      </c>
      <c r="G630" s="2">
        <v>1.8499999999999999E-2</v>
      </c>
      <c r="H630" s="2">
        <f>Table1[[#This Row],[İade Miktarı]]/Table1[[#This Row],[Satış Miktarı]]</f>
        <v>1.8518518518518517E-2</v>
      </c>
      <c r="I630" t="s">
        <v>18</v>
      </c>
      <c r="J630">
        <v>37</v>
      </c>
      <c r="K630">
        <f>Table1[[#This Row],[Satış Miktarı]]*Table1[[#This Row],[Satış Fiyatı]]</f>
        <v>85914</v>
      </c>
      <c r="L630" t="s">
        <v>19</v>
      </c>
      <c r="M630" t="s">
        <v>38</v>
      </c>
      <c r="N630" t="s">
        <v>43</v>
      </c>
      <c r="O630">
        <v>0.2</v>
      </c>
      <c r="P630" t="s">
        <v>22</v>
      </c>
      <c r="Q630" t="s">
        <v>40</v>
      </c>
    </row>
    <row r="631" spans="1:17">
      <c r="A631">
        <v>298790729</v>
      </c>
      <c r="B631" t="s">
        <v>51</v>
      </c>
      <c r="C631" t="s">
        <v>17</v>
      </c>
      <c r="D631" s="1">
        <v>48377</v>
      </c>
      <c r="E631">
        <v>4778</v>
      </c>
      <c r="F631">
        <v>25</v>
      </c>
      <c r="G631" s="2">
        <v>5.1999999999999998E-3</v>
      </c>
      <c r="H631" s="2">
        <f>Table1[[#This Row],[İade Miktarı]]/Table1[[#This Row],[Satış Miktarı]]</f>
        <v>5.232314776056928E-3</v>
      </c>
      <c r="I631" t="s">
        <v>18</v>
      </c>
      <c r="J631">
        <v>27</v>
      </c>
      <c r="K631">
        <f>Table1[[#This Row],[Satış Miktarı]]*Table1[[#This Row],[Satış Fiyatı]]</f>
        <v>129006</v>
      </c>
      <c r="L631" t="s">
        <v>19</v>
      </c>
      <c r="M631" t="s">
        <v>42</v>
      </c>
      <c r="N631" t="s">
        <v>61</v>
      </c>
      <c r="O631">
        <v>0.2</v>
      </c>
      <c r="P631" t="s">
        <v>27</v>
      </c>
      <c r="Q631" t="s">
        <v>53</v>
      </c>
    </row>
    <row r="632" spans="1:17">
      <c r="A632">
        <v>815921135</v>
      </c>
      <c r="B632" t="s">
        <v>54</v>
      </c>
      <c r="C632" t="s">
        <v>34</v>
      </c>
      <c r="D632" s="1">
        <v>48312</v>
      </c>
      <c r="E632">
        <v>1902</v>
      </c>
      <c r="F632">
        <v>41</v>
      </c>
      <c r="G632" s="2">
        <v>2.1600000000000001E-2</v>
      </c>
      <c r="H632" s="2">
        <f>Table1[[#This Row],[İade Miktarı]]/Table1[[#This Row],[Satış Miktarı]]</f>
        <v>2.1556256572029444E-2</v>
      </c>
      <c r="I632" t="s">
        <v>18</v>
      </c>
      <c r="J632">
        <v>47</v>
      </c>
      <c r="K632">
        <f>Table1[[#This Row],[Satış Miktarı]]*Table1[[#This Row],[Satış Fiyatı]]</f>
        <v>89394</v>
      </c>
      <c r="L632" t="s">
        <v>19</v>
      </c>
      <c r="M632" t="s">
        <v>46</v>
      </c>
      <c r="N632" t="s">
        <v>78</v>
      </c>
      <c r="O632">
        <v>0.2</v>
      </c>
      <c r="P632" t="s">
        <v>27</v>
      </c>
      <c r="Q632" t="s">
        <v>79</v>
      </c>
    </row>
    <row r="633" spans="1:17">
      <c r="A633">
        <v>664758955</v>
      </c>
      <c r="B633" t="s">
        <v>57</v>
      </c>
      <c r="C633" t="s">
        <v>34</v>
      </c>
      <c r="D633" s="1">
        <v>47600</v>
      </c>
      <c r="E633">
        <v>4097</v>
      </c>
      <c r="F633">
        <v>27</v>
      </c>
      <c r="G633" s="2">
        <v>6.6E-3</v>
      </c>
      <c r="H633" s="2">
        <f>Table1[[#This Row],[İade Miktarı]]/Table1[[#This Row],[Satış Miktarı]]</f>
        <v>6.5901879423968758E-3</v>
      </c>
      <c r="I633" t="s">
        <v>18</v>
      </c>
      <c r="J633">
        <v>44</v>
      </c>
      <c r="K633">
        <f>Table1[[#This Row],[Satış Miktarı]]*Table1[[#This Row],[Satış Fiyatı]]</f>
        <v>180268</v>
      </c>
      <c r="L633" t="s">
        <v>19</v>
      </c>
      <c r="M633" t="s">
        <v>46</v>
      </c>
      <c r="N633" t="s">
        <v>50</v>
      </c>
      <c r="O633">
        <v>0.2</v>
      </c>
      <c r="P633" t="s">
        <v>27</v>
      </c>
      <c r="Q633" t="s">
        <v>40</v>
      </c>
    </row>
    <row r="634" spans="1:17">
      <c r="A634">
        <v>767685395</v>
      </c>
      <c r="B634" t="s">
        <v>59</v>
      </c>
      <c r="C634" t="s">
        <v>17</v>
      </c>
      <c r="D634" s="1">
        <v>47586</v>
      </c>
      <c r="E634">
        <v>4890</v>
      </c>
      <c r="F634">
        <v>36</v>
      </c>
      <c r="G634" s="2">
        <v>7.4000000000000003E-3</v>
      </c>
      <c r="H634" s="2">
        <f>Table1[[#This Row],[İade Miktarı]]/Table1[[#This Row],[Satış Miktarı]]</f>
        <v>7.3619631901840491E-3</v>
      </c>
      <c r="I634" t="s">
        <v>18</v>
      </c>
      <c r="J634">
        <v>45</v>
      </c>
      <c r="K634">
        <f>Table1[[#This Row],[Satış Miktarı]]*Table1[[#This Row],[Satış Fiyatı]]</f>
        <v>220050</v>
      </c>
      <c r="L634" t="s">
        <v>19</v>
      </c>
      <c r="M634" t="s">
        <v>52</v>
      </c>
      <c r="N634" t="s">
        <v>47</v>
      </c>
      <c r="O634">
        <v>0.2</v>
      </c>
      <c r="P634" t="s">
        <v>22</v>
      </c>
      <c r="Q634" t="s">
        <v>28</v>
      </c>
    </row>
    <row r="635" spans="1:17">
      <c r="A635">
        <v>300921066</v>
      </c>
      <c r="B635" t="s">
        <v>63</v>
      </c>
      <c r="C635" t="s">
        <v>17</v>
      </c>
      <c r="D635" s="1">
        <v>48041</v>
      </c>
      <c r="E635">
        <v>2091</v>
      </c>
      <c r="F635">
        <v>45</v>
      </c>
      <c r="G635" s="2">
        <v>2.1499999999999998E-2</v>
      </c>
      <c r="H635" s="2">
        <f>Table1[[#This Row],[İade Miktarı]]/Table1[[#This Row],[Satış Miktarı]]</f>
        <v>2.1520803443328552E-2</v>
      </c>
      <c r="I635" t="s">
        <v>18</v>
      </c>
      <c r="J635">
        <v>32</v>
      </c>
      <c r="K635">
        <f>Table1[[#This Row],[Satış Miktarı]]*Table1[[#This Row],[Satış Fiyatı]]</f>
        <v>66912</v>
      </c>
      <c r="L635" t="s">
        <v>19</v>
      </c>
      <c r="M635" t="s">
        <v>55</v>
      </c>
      <c r="N635" t="s">
        <v>43</v>
      </c>
      <c r="O635">
        <v>0.2</v>
      </c>
      <c r="P635" t="s">
        <v>22</v>
      </c>
      <c r="Q635" t="s">
        <v>66</v>
      </c>
    </row>
    <row r="636" spans="1:17">
      <c r="A636">
        <v>374236235</v>
      </c>
      <c r="B636" t="s">
        <v>67</v>
      </c>
      <c r="C636" t="s">
        <v>17</v>
      </c>
      <c r="D636" s="1">
        <v>48235</v>
      </c>
      <c r="E636">
        <v>1393</v>
      </c>
      <c r="F636">
        <v>41</v>
      </c>
      <c r="G636" s="2">
        <v>2.9399999999999999E-2</v>
      </c>
      <c r="H636" s="2">
        <f>Table1[[#This Row],[İade Miktarı]]/Table1[[#This Row],[Satış Miktarı]]</f>
        <v>2.9432878679109833E-2</v>
      </c>
      <c r="I636" t="s">
        <v>18</v>
      </c>
      <c r="J636">
        <v>23</v>
      </c>
      <c r="K636">
        <f>Table1[[#This Row],[Satış Miktarı]]*Table1[[#This Row],[Satış Fiyatı]]</f>
        <v>32039</v>
      </c>
      <c r="L636" t="s">
        <v>19</v>
      </c>
      <c r="M636" t="s">
        <v>58</v>
      </c>
      <c r="N636" t="s">
        <v>76</v>
      </c>
      <c r="O636">
        <v>0.2</v>
      </c>
      <c r="P636" t="s">
        <v>27</v>
      </c>
      <c r="Q636" t="s">
        <v>75</v>
      </c>
    </row>
    <row r="637" spans="1:17">
      <c r="A637">
        <v>27927688</v>
      </c>
      <c r="B637" t="s">
        <v>70</v>
      </c>
      <c r="C637" t="s">
        <v>17</v>
      </c>
      <c r="D637" s="1">
        <v>47680</v>
      </c>
      <c r="E637">
        <v>3209</v>
      </c>
      <c r="F637">
        <v>10</v>
      </c>
      <c r="G637" s="2">
        <v>3.0999999999999999E-3</v>
      </c>
      <c r="H637" s="2">
        <f>Table1[[#This Row],[İade Miktarı]]/Table1[[#This Row],[Satış Miktarı]]</f>
        <v>3.1162355874104083E-3</v>
      </c>
      <c r="I637" t="s">
        <v>18</v>
      </c>
      <c r="J637">
        <v>27</v>
      </c>
      <c r="K637">
        <f>Table1[[#This Row],[Satış Miktarı]]*Table1[[#This Row],[Satış Fiyatı]]</f>
        <v>86643</v>
      </c>
      <c r="L637" t="s">
        <v>19</v>
      </c>
      <c r="M637" t="s">
        <v>60</v>
      </c>
      <c r="N637" t="s">
        <v>65</v>
      </c>
      <c r="O637">
        <v>0.2</v>
      </c>
      <c r="P637" t="s">
        <v>27</v>
      </c>
      <c r="Q637" t="s">
        <v>80</v>
      </c>
    </row>
    <row r="638" spans="1:17">
      <c r="A638">
        <v>258447172</v>
      </c>
      <c r="B638" t="s">
        <v>73</v>
      </c>
      <c r="C638" t="s">
        <v>17</v>
      </c>
      <c r="D638" s="1">
        <v>48526</v>
      </c>
      <c r="E638">
        <v>4500</v>
      </c>
      <c r="F638">
        <v>22</v>
      </c>
      <c r="G638" s="2">
        <v>4.8999999999999998E-3</v>
      </c>
      <c r="H638" s="2">
        <f>Table1[[#This Row],[İade Miktarı]]/Table1[[#This Row],[Satış Miktarı]]</f>
        <v>4.8888888888888888E-3</v>
      </c>
      <c r="I638" t="s">
        <v>18</v>
      </c>
      <c r="J638">
        <v>40</v>
      </c>
      <c r="K638">
        <f>Table1[[#This Row],[Satış Miktarı]]*Table1[[#This Row],[Satış Fiyatı]]</f>
        <v>180000</v>
      </c>
      <c r="L638" t="s">
        <v>19</v>
      </c>
      <c r="M638" t="s">
        <v>64</v>
      </c>
      <c r="N638" t="s">
        <v>76</v>
      </c>
      <c r="O638">
        <v>0.2</v>
      </c>
      <c r="P638" t="s">
        <v>27</v>
      </c>
      <c r="Q638" t="s">
        <v>80</v>
      </c>
    </row>
    <row r="639" spans="1:17">
      <c r="A639">
        <v>119038291</v>
      </c>
      <c r="B639" t="s">
        <v>16</v>
      </c>
      <c r="C639" t="s">
        <v>17</v>
      </c>
      <c r="D639" s="1">
        <v>48400</v>
      </c>
      <c r="E639">
        <v>4309</v>
      </c>
      <c r="F639">
        <v>18</v>
      </c>
      <c r="G639" s="2">
        <v>4.1999999999999997E-3</v>
      </c>
      <c r="H639" s="2">
        <f>Table1[[#This Row],[İade Miktarı]]/Table1[[#This Row],[Satış Miktarı]]</f>
        <v>4.1773033186354143E-3</v>
      </c>
      <c r="I639" t="s">
        <v>18</v>
      </c>
      <c r="J639">
        <v>20</v>
      </c>
      <c r="K639">
        <f>Table1[[#This Row],[Satış Miktarı]]*Table1[[#This Row],[Satış Fiyatı]]</f>
        <v>86180</v>
      </c>
      <c r="L639" t="s">
        <v>19</v>
      </c>
      <c r="M639" t="s">
        <v>68</v>
      </c>
      <c r="N639" t="s">
        <v>47</v>
      </c>
      <c r="O639">
        <v>0.2</v>
      </c>
      <c r="P639" t="s">
        <v>27</v>
      </c>
      <c r="Q639" t="s">
        <v>66</v>
      </c>
    </row>
    <row r="640" spans="1:17">
      <c r="A640">
        <v>973956056</v>
      </c>
      <c r="B640" t="s">
        <v>24</v>
      </c>
      <c r="C640" t="s">
        <v>17</v>
      </c>
      <c r="D640" s="1">
        <v>47856</v>
      </c>
      <c r="E640">
        <v>2433</v>
      </c>
      <c r="F640">
        <v>36</v>
      </c>
      <c r="G640" s="2">
        <v>1.4800000000000001E-2</v>
      </c>
      <c r="H640" s="2">
        <f>Table1[[#This Row],[İade Miktarı]]/Table1[[#This Row],[Satış Miktarı]]</f>
        <v>1.4796547472256474E-2</v>
      </c>
      <c r="I640" t="s">
        <v>18</v>
      </c>
      <c r="J640">
        <v>41</v>
      </c>
      <c r="K640">
        <f>Table1[[#This Row],[Satış Miktarı]]*Table1[[#This Row],[Satış Fiyatı]]</f>
        <v>99753</v>
      </c>
      <c r="L640" t="s">
        <v>19</v>
      </c>
      <c r="M640" t="s">
        <v>71</v>
      </c>
      <c r="N640" t="s">
        <v>31</v>
      </c>
      <c r="O640">
        <v>0.2</v>
      </c>
      <c r="P640" t="s">
        <v>27</v>
      </c>
      <c r="Q640" t="s">
        <v>79</v>
      </c>
    </row>
    <row r="641" spans="1:17">
      <c r="A641">
        <v>766508716</v>
      </c>
      <c r="B641" t="s">
        <v>29</v>
      </c>
      <c r="C641" t="s">
        <v>17</v>
      </c>
      <c r="D641" s="1">
        <v>48235</v>
      </c>
      <c r="E641">
        <v>4707</v>
      </c>
      <c r="F641">
        <v>44</v>
      </c>
      <c r="G641" s="2">
        <v>9.2999999999999992E-3</v>
      </c>
      <c r="H641" s="2">
        <f>Table1[[#This Row],[İade Miktarı]]/Table1[[#This Row],[Satış Miktarı]]</f>
        <v>9.3477799022732098E-3</v>
      </c>
      <c r="I641" t="s">
        <v>18</v>
      </c>
      <c r="J641">
        <v>27</v>
      </c>
      <c r="K641">
        <f>Table1[[#This Row],[Satış Miktarı]]*Table1[[#This Row],[Satış Fiyatı]]</f>
        <v>127089</v>
      </c>
      <c r="L641" t="s">
        <v>19</v>
      </c>
      <c r="M641" t="s">
        <v>74</v>
      </c>
      <c r="N641" t="s">
        <v>65</v>
      </c>
      <c r="O641">
        <v>0.2</v>
      </c>
      <c r="P641" t="s">
        <v>27</v>
      </c>
      <c r="Q641" t="s">
        <v>32</v>
      </c>
    </row>
    <row r="642" spans="1:17">
      <c r="A642">
        <v>371197510</v>
      </c>
      <c r="B642" t="s">
        <v>33</v>
      </c>
      <c r="C642" t="s">
        <v>34</v>
      </c>
      <c r="D642" s="1">
        <v>48325</v>
      </c>
      <c r="E642">
        <v>1417</v>
      </c>
      <c r="F642">
        <v>43</v>
      </c>
      <c r="G642" s="2">
        <v>3.0300000000000001E-2</v>
      </c>
      <c r="H642" s="2">
        <f>Table1[[#This Row],[İade Miktarı]]/Table1[[#This Row],[Satış Miktarı]]</f>
        <v>3.0345800988002825E-2</v>
      </c>
      <c r="I642" t="s">
        <v>18</v>
      </c>
      <c r="J642">
        <v>48</v>
      </c>
      <c r="K642">
        <f>Table1[[#This Row],[Satış Miktarı]]*Table1[[#This Row],[Satış Fiyatı]]</f>
        <v>68016</v>
      </c>
      <c r="L642" t="s">
        <v>19</v>
      </c>
      <c r="M642" t="s">
        <v>20</v>
      </c>
      <c r="N642" t="s">
        <v>39</v>
      </c>
      <c r="O642">
        <v>0.2</v>
      </c>
      <c r="P642" t="s">
        <v>22</v>
      </c>
      <c r="Q642" t="s">
        <v>75</v>
      </c>
    </row>
    <row r="643" spans="1:17">
      <c r="A643">
        <v>924067028</v>
      </c>
      <c r="B643" t="s">
        <v>37</v>
      </c>
      <c r="C643" t="s">
        <v>34</v>
      </c>
      <c r="D643" s="1">
        <v>48492</v>
      </c>
      <c r="E643">
        <v>3631</v>
      </c>
      <c r="F643">
        <v>27</v>
      </c>
      <c r="G643" s="2">
        <v>7.4000000000000003E-3</v>
      </c>
      <c r="H643" s="2">
        <f>Table1[[#This Row],[İade Miktarı]]/Table1[[#This Row],[Satış Miktarı]]</f>
        <v>7.4359680528779948E-3</v>
      </c>
      <c r="I643" t="s">
        <v>18</v>
      </c>
      <c r="J643">
        <v>23</v>
      </c>
      <c r="K643">
        <f>Table1[[#This Row],[Satış Miktarı]]*Table1[[#This Row],[Satış Fiyatı]]</f>
        <v>83513</v>
      </c>
      <c r="L643" t="s">
        <v>19</v>
      </c>
      <c r="M643" t="s">
        <v>25</v>
      </c>
      <c r="N643" t="s">
        <v>47</v>
      </c>
      <c r="O643">
        <v>0.2</v>
      </c>
      <c r="P643" t="s">
        <v>27</v>
      </c>
      <c r="Q643" t="s">
        <v>62</v>
      </c>
    </row>
    <row r="644" spans="1:17">
      <c r="A644">
        <v>693093102</v>
      </c>
      <c r="B644" t="s">
        <v>41</v>
      </c>
      <c r="C644" t="s">
        <v>17</v>
      </c>
      <c r="D644" s="1">
        <v>47664</v>
      </c>
      <c r="E644">
        <v>1253</v>
      </c>
      <c r="F644">
        <v>50</v>
      </c>
      <c r="G644" s="2">
        <v>3.9899999999999998E-2</v>
      </c>
      <c r="H644" s="2">
        <f>Table1[[#This Row],[İade Miktarı]]/Table1[[#This Row],[Satış Miktarı]]</f>
        <v>3.9904229848363927E-2</v>
      </c>
      <c r="I644" t="s">
        <v>18</v>
      </c>
      <c r="J644">
        <v>34</v>
      </c>
      <c r="K644">
        <f>Table1[[#This Row],[Satış Miktarı]]*Table1[[#This Row],[Satış Fiyatı]]</f>
        <v>42602</v>
      </c>
      <c r="L644" t="s">
        <v>19</v>
      </c>
      <c r="M644" t="s">
        <v>30</v>
      </c>
      <c r="N644" t="s">
        <v>76</v>
      </c>
      <c r="O644">
        <v>0.2</v>
      </c>
      <c r="P644" t="s">
        <v>27</v>
      </c>
      <c r="Q644" t="s">
        <v>23</v>
      </c>
    </row>
    <row r="645" spans="1:17">
      <c r="A645">
        <v>595484877</v>
      </c>
      <c r="B645" t="s">
        <v>44</v>
      </c>
      <c r="C645" t="s">
        <v>17</v>
      </c>
      <c r="D645" s="1">
        <v>47825</v>
      </c>
      <c r="E645">
        <v>1370</v>
      </c>
      <c r="F645">
        <v>15</v>
      </c>
      <c r="G645" s="2">
        <v>1.09E-2</v>
      </c>
      <c r="H645" s="2">
        <f>Table1[[#This Row],[İade Miktarı]]/Table1[[#This Row],[Satış Miktarı]]</f>
        <v>1.0948905109489052E-2</v>
      </c>
      <c r="I645" t="s">
        <v>18</v>
      </c>
      <c r="J645">
        <v>24</v>
      </c>
      <c r="K645">
        <f>Table1[[#This Row],[Satış Miktarı]]*Table1[[#This Row],[Satış Fiyatı]]</f>
        <v>32880</v>
      </c>
      <c r="L645" t="s">
        <v>19</v>
      </c>
      <c r="M645" t="s">
        <v>35</v>
      </c>
      <c r="N645" t="s">
        <v>65</v>
      </c>
      <c r="O645">
        <v>0.2</v>
      </c>
      <c r="P645" t="s">
        <v>27</v>
      </c>
      <c r="Q645" t="s">
        <v>53</v>
      </c>
    </row>
    <row r="646" spans="1:17">
      <c r="A646">
        <v>263757086</v>
      </c>
      <c r="B646" t="s">
        <v>49</v>
      </c>
      <c r="C646" t="s">
        <v>34</v>
      </c>
      <c r="D646" s="1">
        <v>47985</v>
      </c>
      <c r="E646">
        <v>2671</v>
      </c>
      <c r="F646">
        <v>30</v>
      </c>
      <c r="G646" s="2">
        <v>1.12E-2</v>
      </c>
      <c r="H646" s="2">
        <f>Table1[[#This Row],[İade Miktarı]]/Table1[[#This Row],[Satış Miktarı]]</f>
        <v>1.1231748408835642E-2</v>
      </c>
      <c r="I646" t="s">
        <v>18</v>
      </c>
      <c r="J646">
        <v>37</v>
      </c>
      <c r="K646">
        <f>Table1[[#This Row],[Satış Miktarı]]*Table1[[#This Row],[Satış Fiyatı]]</f>
        <v>98827</v>
      </c>
      <c r="L646" t="s">
        <v>19</v>
      </c>
      <c r="M646" t="s">
        <v>38</v>
      </c>
      <c r="N646" t="s">
        <v>61</v>
      </c>
      <c r="O646">
        <v>0.2</v>
      </c>
      <c r="P646" t="s">
        <v>27</v>
      </c>
      <c r="Q646" t="s">
        <v>53</v>
      </c>
    </row>
    <row r="647" spans="1:17">
      <c r="A647">
        <v>515710242</v>
      </c>
      <c r="B647" t="s">
        <v>51</v>
      </c>
      <c r="C647" t="s">
        <v>17</v>
      </c>
      <c r="D647" s="1">
        <v>47752</v>
      </c>
      <c r="E647">
        <v>1421</v>
      </c>
      <c r="F647">
        <v>10</v>
      </c>
      <c r="G647" s="2">
        <v>7.0000000000000001E-3</v>
      </c>
      <c r="H647" s="2">
        <f>Table1[[#This Row],[İade Miktarı]]/Table1[[#This Row],[Satış Miktarı]]</f>
        <v>7.0372976776917661E-3</v>
      </c>
      <c r="I647" t="s">
        <v>18</v>
      </c>
      <c r="J647">
        <v>33</v>
      </c>
      <c r="K647">
        <f>Table1[[#This Row],[Satış Miktarı]]*Table1[[#This Row],[Satış Fiyatı]]</f>
        <v>46893</v>
      </c>
      <c r="L647" t="s">
        <v>19</v>
      </c>
      <c r="M647" t="s">
        <v>42</v>
      </c>
      <c r="N647" t="s">
        <v>39</v>
      </c>
      <c r="O647">
        <v>0.2</v>
      </c>
      <c r="P647" t="s">
        <v>27</v>
      </c>
      <c r="Q647" t="s">
        <v>80</v>
      </c>
    </row>
    <row r="648" spans="1:17">
      <c r="A648">
        <v>834263333</v>
      </c>
      <c r="B648" t="s">
        <v>54</v>
      </c>
      <c r="C648" t="s">
        <v>34</v>
      </c>
      <c r="D648" s="1">
        <v>48171</v>
      </c>
      <c r="E648">
        <v>1504</v>
      </c>
      <c r="F648">
        <v>27</v>
      </c>
      <c r="G648" s="2">
        <v>1.7999999999999999E-2</v>
      </c>
      <c r="H648" s="2">
        <f>Table1[[#This Row],[İade Miktarı]]/Table1[[#This Row],[Satış Miktarı]]</f>
        <v>1.795212765957447E-2</v>
      </c>
      <c r="I648" t="s">
        <v>18</v>
      </c>
      <c r="J648">
        <v>43</v>
      </c>
      <c r="K648">
        <f>Table1[[#This Row],[Satış Miktarı]]*Table1[[#This Row],[Satış Fiyatı]]</f>
        <v>64672</v>
      </c>
      <c r="L648" t="s">
        <v>19</v>
      </c>
      <c r="M648" t="s">
        <v>46</v>
      </c>
      <c r="N648" t="s">
        <v>47</v>
      </c>
      <c r="O648">
        <v>0.2</v>
      </c>
      <c r="P648" t="s">
        <v>27</v>
      </c>
      <c r="Q648" t="s">
        <v>36</v>
      </c>
    </row>
    <row r="649" spans="1:17">
      <c r="A649">
        <v>470906401</v>
      </c>
      <c r="B649" t="s">
        <v>57</v>
      </c>
      <c r="C649" t="s">
        <v>34</v>
      </c>
      <c r="D649" s="1">
        <v>48194</v>
      </c>
      <c r="E649">
        <v>1870</v>
      </c>
      <c r="F649">
        <v>30</v>
      </c>
      <c r="G649" s="2">
        <v>1.6E-2</v>
      </c>
      <c r="H649" s="2">
        <f>Table1[[#This Row],[İade Miktarı]]/Table1[[#This Row],[Satış Miktarı]]</f>
        <v>1.6042780748663103E-2</v>
      </c>
      <c r="I649" t="s">
        <v>18</v>
      </c>
      <c r="J649">
        <v>34</v>
      </c>
      <c r="K649">
        <f>Table1[[#This Row],[Satış Miktarı]]*Table1[[#This Row],[Satış Fiyatı]]</f>
        <v>63580</v>
      </c>
      <c r="L649" t="s">
        <v>19</v>
      </c>
      <c r="M649" t="s">
        <v>46</v>
      </c>
      <c r="N649" t="s">
        <v>31</v>
      </c>
      <c r="O649">
        <v>0.2</v>
      </c>
      <c r="P649" t="s">
        <v>22</v>
      </c>
      <c r="Q649" t="s">
        <v>79</v>
      </c>
    </row>
    <row r="650" spans="1:17">
      <c r="A650">
        <v>492420489</v>
      </c>
      <c r="B650" t="s">
        <v>59</v>
      </c>
      <c r="C650" t="s">
        <v>17</v>
      </c>
      <c r="D650" s="1">
        <v>48484</v>
      </c>
      <c r="E650">
        <v>2866</v>
      </c>
      <c r="F650">
        <v>13</v>
      </c>
      <c r="G650" s="2">
        <v>4.4999999999999997E-3</v>
      </c>
      <c r="H650" s="2">
        <f>Table1[[#This Row],[İade Miktarı]]/Table1[[#This Row],[Satış Miktarı]]</f>
        <v>4.5359385903698535E-3</v>
      </c>
      <c r="I650" t="s">
        <v>18</v>
      </c>
      <c r="J650">
        <v>24</v>
      </c>
      <c r="K650">
        <f>Table1[[#This Row],[Satış Miktarı]]*Table1[[#This Row],[Satış Fiyatı]]</f>
        <v>68784</v>
      </c>
      <c r="L650" t="s">
        <v>19</v>
      </c>
      <c r="M650" t="s">
        <v>52</v>
      </c>
      <c r="N650" t="s">
        <v>31</v>
      </c>
      <c r="O650">
        <v>0.2</v>
      </c>
      <c r="P650" t="s">
        <v>22</v>
      </c>
      <c r="Q650" t="s">
        <v>72</v>
      </c>
    </row>
    <row r="651" spans="1:17">
      <c r="A651">
        <v>167553177</v>
      </c>
      <c r="B651" t="s">
        <v>63</v>
      </c>
      <c r="C651" t="s">
        <v>17</v>
      </c>
      <c r="D651" s="1">
        <v>47643</v>
      </c>
      <c r="E651">
        <v>3507</v>
      </c>
      <c r="F651">
        <v>29</v>
      </c>
      <c r="G651" s="2">
        <v>8.3000000000000001E-3</v>
      </c>
      <c r="H651" s="2">
        <f>Table1[[#This Row],[İade Miktarı]]/Table1[[#This Row],[Satış Miktarı]]</f>
        <v>8.2691759338465922E-3</v>
      </c>
      <c r="I651" t="s">
        <v>18</v>
      </c>
      <c r="J651">
        <v>42</v>
      </c>
      <c r="K651">
        <f>Table1[[#This Row],[Satış Miktarı]]*Table1[[#This Row],[Satış Fiyatı]]</f>
        <v>147294</v>
      </c>
      <c r="L651" t="s">
        <v>19</v>
      </c>
      <c r="M651" t="s">
        <v>55</v>
      </c>
      <c r="N651" t="s">
        <v>47</v>
      </c>
      <c r="O651">
        <v>0.2</v>
      </c>
      <c r="P651" t="s">
        <v>22</v>
      </c>
      <c r="Q651" t="s">
        <v>53</v>
      </c>
    </row>
    <row r="652" spans="1:17">
      <c r="A652">
        <v>652259052</v>
      </c>
      <c r="B652" t="s">
        <v>63</v>
      </c>
      <c r="C652" t="s">
        <v>17</v>
      </c>
      <c r="D652" s="1">
        <v>47894</v>
      </c>
      <c r="E652">
        <v>1808</v>
      </c>
      <c r="F652">
        <v>49</v>
      </c>
      <c r="G652" s="2">
        <v>2.7099999999999999E-2</v>
      </c>
      <c r="H652" s="2">
        <f>Table1[[#This Row],[İade Miktarı]]/Table1[[#This Row],[Satış Miktarı]]</f>
        <v>2.7101769911504425E-2</v>
      </c>
      <c r="I652" t="s">
        <v>18</v>
      </c>
      <c r="J652">
        <v>36</v>
      </c>
      <c r="K652">
        <f>Table1[[#This Row],[Satış Miktarı]]*Table1[[#This Row],[Satış Fiyatı]]</f>
        <v>65088</v>
      </c>
      <c r="L652" t="s">
        <v>19</v>
      </c>
      <c r="M652" t="s">
        <v>58</v>
      </c>
      <c r="N652" t="s">
        <v>78</v>
      </c>
      <c r="O652">
        <v>0.2</v>
      </c>
      <c r="P652" t="s">
        <v>27</v>
      </c>
      <c r="Q652" t="s">
        <v>77</v>
      </c>
    </row>
    <row r="653" spans="1:17">
      <c r="A653">
        <v>71087341</v>
      </c>
      <c r="B653" t="s">
        <v>67</v>
      </c>
      <c r="C653" t="s">
        <v>17</v>
      </c>
      <c r="D653" s="1">
        <v>47540</v>
      </c>
      <c r="E653">
        <v>2566</v>
      </c>
      <c r="F653">
        <v>25</v>
      </c>
      <c r="G653" s="2">
        <v>9.7000000000000003E-3</v>
      </c>
      <c r="H653" s="2">
        <f>Table1[[#This Row],[İade Miktarı]]/Table1[[#This Row],[Satış Miktarı]]</f>
        <v>9.7427903351519872E-3</v>
      </c>
      <c r="I653" t="s">
        <v>18</v>
      </c>
      <c r="J653">
        <v>26</v>
      </c>
      <c r="K653">
        <f>Table1[[#This Row],[Satış Miktarı]]*Table1[[#This Row],[Satış Fiyatı]]</f>
        <v>66716</v>
      </c>
      <c r="L653" t="s">
        <v>19</v>
      </c>
      <c r="M653" t="s">
        <v>60</v>
      </c>
      <c r="N653" t="s">
        <v>39</v>
      </c>
      <c r="O653">
        <v>0.2</v>
      </c>
      <c r="P653" t="s">
        <v>27</v>
      </c>
      <c r="Q653" t="s">
        <v>40</v>
      </c>
    </row>
    <row r="654" spans="1:17">
      <c r="A654">
        <v>20050724</v>
      </c>
      <c r="B654" t="s">
        <v>70</v>
      </c>
      <c r="C654" t="s">
        <v>17</v>
      </c>
      <c r="D654" s="1">
        <v>48351</v>
      </c>
      <c r="E654">
        <v>2017</v>
      </c>
      <c r="F654">
        <v>49</v>
      </c>
      <c r="G654" s="2">
        <v>2.4299999999999999E-2</v>
      </c>
      <c r="H654" s="2">
        <f>Table1[[#This Row],[İade Miktarı]]/Table1[[#This Row],[Satış Miktarı]]</f>
        <v>2.4293505205751114E-2</v>
      </c>
      <c r="I654" t="s">
        <v>18</v>
      </c>
      <c r="J654">
        <v>44</v>
      </c>
      <c r="K654">
        <f>Table1[[#This Row],[Satış Miktarı]]*Table1[[#This Row],[Satış Fiyatı]]</f>
        <v>88748</v>
      </c>
      <c r="L654" t="s">
        <v>19</v>
      </c>
      <c r="M654" t="s">
        <v>64</v>
      </c>
      <c r="N654" t="s">
        <v>47</v>
      </c>
      <c r="O654">
        <v>0.2</v>
      </c>
      <c r="P654" t="s">
        <v>27</v>
      </c>
      <c r="Q654" t="s">
        <v>82</v>
      </c>
    </row>
    <row r="655" spans="1:17">
      <c r="A655">
        <v>909416600</v>
      </c>
      <c r="B655" t="s">
        <v>73</v>
      </c>
      <c r="C655" t="s">
        <v>17</v>
      </c>
      <c r="D655" s="1">
        <v>48406</v>
      </c>
      <c r="E655">
        <v>1208</v>
      </c>
      <c r="F655">
        <v>35</v>
      </c>
      <c r="G655" s="2">
        <v>2.9000000000000001E-2</v>
      </c>
      <c r="H655" s="2">
        <f>Table1[[#This Row],[İade Miktarı]]/Table1[[#This Row],[Satış Miktarı]]</f>
        <v>2.8973509933774833E-2</v>
      </c>
      <c r="I655" t="s">
        <v>45</v>
      </c>
      <c r="J655">
        <v>34</v>
      </c>
      <c r="K655">
        <f>Table1[[#This Row],[Satış Miktarı]]*Table1[[#This Row],[Satış Fiyatı]]</f>
        <v>41072</v>
      </c>
      <c r="L655" t="s">
        <v>19</v>
      </c>
      <c r="M655" t="s">
        <v>68</v>
      </c>
      <c r="N655" t="s">
        <v>76</v>
      </c>
      <c r="O655">
        <v>0.2</v>
      </c>
      <c r="P655" t="s">
        <v>22</v>
      </c>
      <c r="Q655" t="s">
        <v>72</v>
      </c>
    </row>
    <row r="656" spans="1:17">
      <c r="A656">
        <v>669131878</v>
      </c>
      <c r="B656" t="s">
        <v>16</v>
      </c>
      <c r="C656" t="s">
        <v>17</v>
      </c>
      <c r="D656" s="1">
        <v>47564</v>
      </c>
      <c r="E656">
        <v>1710</v>
      </c>
      <c r="F656">
        <v>45</v>
      </c>
      <c r="G656" s="2">
        <v>2.63E-2</v>
      </c>
      <c r="H656" s="2">
        <f>Table1[[#This Row],[İade Miktarı]]/Table1[[#This Row],[Satış Miktarı]]</f>
        <v>2.6315789473684209E-2</v>
      </c>
      <c r="I656" t="s">
        <v>18</v>
      </c>
      <c r="J656">
        <v>45</v>
      </c>
      <c r="K656">
        <f>Table1[[#This Row],[Satış Miktarı]]*Table1[[#This Row],[Satış Fiyatı]]</f>
        <v>76950</v>
      </c>
      <c r="L656" t="s">
        <v>19</v>
      </c>
      <c r="M656" t="s">
        <v>71</v>
      </c>
      <c r="N656" t="s">
        <v>47</v>
      </c>
      <c r="O656">
        <v>0.2</v>
      </c>
      <c r="P656" t="s">
        <v>27</v>
      </c>
      <c r="Q656" t="s">
        <v>66</v>
      </c>
    </row>
    <row r="657" spans="1:17">
      <c r="A657">
        <v>753259144</v>
      </c>
      <c r="B657" t="s">
        <v>24</v>
      </c>
      <c r="C657" t="s">
        <v>17</v>
      </c>
      <c r="D657" s="1">
        <v>48215</v>
      </c>
      <c r="E657">
        <v>3800</v>
      </c>
      <c r="F657">
        <v>40</v>
      </c>
      <c r="G657" s="2">
        <v>1.0500000000000001E-2</v>
      </c>
      <c r="H657" s="2">
        <f>Table1[[#This Row],[İade Miktarı]]/Table1[[#This Row],[Satış Miktarı]]</f>
        <v>1.0526315789473684E-2</v>
      </c>
      <c r="I657" t="s">
        <v>18</v>
      </c>
      <c r="J657">
        <v>21</v>
      </c>
      <c r="K657">
        <f>Table1[[#This Row],[Satış Miktarı]]*Table1[[#This Row],[Satış Fiyatı]]</f>
        <v>79800</v>
      </c>
      <c r="L657" t="s">
        <v>19</v>
      </c>
      <c r="M657" t="s">
        <v>74</v>
      </c>
      <c r="N657" t="s">
        <v>78</v>
      </c>
      <c r="O657">
        <v>0.2</v>
      </c>
      <c r="P657" t="s">
        <v>22</v>
      </c>
      <c r="Q657" t="s">
        <v>77</v>
      </c>
    </row>
    <row r="658" spans="1:17">
      <c r="A658">
        <v>453683244</v>
      </c>
      <c r="B658" t="s">
        <v>29</v>
      </c>
      <c r="C658" t="s">
        <v>17</v>
      </c>
      <c r="D658" s="1">
        <v>47883</v>
      </c>
      <c r="E658">
        <v>2881</v>
      </c>
      <c r="F658">
        <v>35</v>
      </c>
      <c r="G658" s="2">
        <v>1.21E-2</v>
      </c>
      <c r="H658" s="2">
        <f>Table1[[#This Row],[İade Miktarı]]/Table1[[#This Row],[Satış Miktarı]]</f>
        <v>1.2148559527941687E-2</v>
      </c>
      <c r="I658" t="s">
        <v>18</v>
      </c>
      <c r="J658">
        <v>49</v>
      </c>
      <c r="K658">
        <f>Table1[[#This Row],[Satış Miktarı]]*Table1[[#This Row],[Satış Fiyatı]]</f>
        <v>141169</v>
      </c>
      <c r="L658" t="s">
        <v>19</v>
      </c>
      <c r="M658" t="s">
        <v>20</v>
      </c>
      <c r="N658" t="s">
        <v>21</v>
      </c>
      <c r="O658">
        <v>0.2</v>
      </c>
      <c r="P658" t="s">
        <v>22</v>
      </c>
      <c r="Q658" t="s">
        <v>82</v>
      </c>
    </row>
    <row r="659" spans="1:17">
      <c r="A659">
        <v>271994584</v>
      </c>
      <c r="B659" t="s">
        <v>33</v>
      </c>
      <c r="C659" t="s">
        <v>34</v>
      </c>
      <c r="D659" s="1">
        <v>47657</v>
      </c>
      <c r="E659">
        <v>4274</v>
      </c>
      <c r="F659">
        <v>41</v>
      </c>
      <c r="G659" s="2">
        <v>9.5999999999999992E-3</v>
      </c>
      <c r="H659" s="2">
        <f>Table1[[#This Row],[İade Miktarı]]/Table1[[#This Row],[Satış Miktarı]]</f>
        <v>9.5928872250818902E-3</v>
      </c>
      <c r="I659" t="s">
        <v>18</v>
      </c>
      <c r="J659">
        <v>27</v>
      </c>
      <c r="K659">
        <f>Table1[[#This Row],[Satış Miktarı]]*Table1[[#This Row],[Satış Fiyatı]]</f>
        <v>115398</v>
      </c>
      <c r="L659" t="s">
        <v>19</v>
      </c>
      <c r="M659" t="s">
        <v>25</v>
      </c>
      <c r="N659" t="s">
        <v>76</v>
      </c>
      <c r="O659">
        <v>0.2</v>
      </c>
      <c r="P659" t="s">
        <v>22</v>
      </c>
      <c r="Q659" t="s">
        <v>75</v>
      </c>
    </row>
    <row r="660" spans="1:17">
      <c r="A660">
        <v>199244562</v>
      </c>
      <c r="B660" t="s">
        <v>37</v>
      </c>
      <c r="C660" t="s">
        <v>34</v>
      </c>
      <c r="D660" s="1">
        <v>48218</v>
      </c>
      <c r="E660">
        <v>1385</v>
      </c>
      <c r="F660">
        <v>25</v>
      </c>
      <c r="G660" s="2">
        <v>1.8100000000000002E-2</v>
      </c>
      <c r="H660" s="2">
        <f>Table1[[#This Row],[İade Miktarı]]/Table1[[#This Row],[Satış Miktarı]]</f>
        <v>1.8050541516245487E-2</v>
      </c>
      <c r="I660" t="s">
        <v>18</v>
      </c>
      <c r="J660">
        <v>32</v>
      </c>
      <c r="K660">
        <f>Table1[[#This Row],[Satış Miktarı]]*Table1[[#This Row],[Satış Fiyatı]]</f>
        <v>44320</v>
      </c>
      <c r="L660" t="s">
        <v>19</v>
      </c>
      <c r="M660" t="s">
        <v>30</v>
      </c>
      <c r="N660" t="s">
        <v>43</v>
      </c>
      <c r="O660">
        <v>0.2</v>
      </c>
      <c r="P660" t="s">
        <v>22</v>
      </c>
      <c r="Q660" t="s">
        <v>80</v>
      </c>
    </row>
    <row r="661" spans="1:17">
      <c r="A661">
        <v>40639473</v>
      </c>
      <c r="B661" t="s">
        <v>41</v>
      </c>
      <c r="C661" t="s">
        <v>17</v>
      </c>
      <c r="D661" s="1">
        <v>47765</v>
      </c>
      <c r="E661">
        <v>2164</v>
      </c>
      <c r="F661">
        <v>27</v>
      </c>
      <c r="G661" s="2">
        <v>1.2500000000000001E-2</v>
      </c>
      <c r="H661" s="2">
        <f>Table1[[#This Row],[İade Miktarı]]/Table1[[#This Row],[Satış Miktarı]]</f>
        <v>1.2476894639556377E-2</v>
      </c>
      <c r="I661" t="s">
        <v>45</v>
      </c>
      <c r="J661">
        <v>46</v>
      </c>
      <c r="K661">
        <f>Table1[[#This Row],[Satış Miktarı]]*Table1[[#This Row],[Satış Fiyatı]]</f>
        <v>99544</v>
      </c>
      <c r="L661" t="s">
        <v>19</v>
      </c>
      <c r="M661" t="s">
        <v>35</v>
      </c>
      <c r="N661" t="s">
        <v>26</v>
      </c>
      <c r="O661">
        <v>0.2</v>
      </c>
      <c r="P661" t="s">
        <v>27</v>
      </c>
      <c r="Q661" t="s">
        <v>77</v>
      </c>
    </row>
    <row r="662" spans="1:17">
      <c r="A662">
        <v>950125762</v>
      </c>
      <c r="B662" t="s">
        <v>44</v>
      </c>
      <c r="C662" t="s">
        <v>17</v>
      </c>
      <c r="D662" s="1">
        <v>48432</v>
      </c>
      <c r="E662">
        <v>2869</v>
      </c>
      <c r="F662">
        <v>21</v>
      </c>
      <c r="G662" s="2">
        <v>7.3000000000000001E-3</v>
      </c>
      <c r="H662" s="2">
        <f>Table1[[#This Row],[İade Miktarı]]/Table1[[#This Row],[Satış Miktarı]]</f>
        <v>7.3196235622168E-3</v>
      </c>
      <c r="I662" t="s">
        <v>18</v>
      </c>
      <c r="J662">
        <v>23</v>
      </c>
      <c r="K662">
        <f>Table1[[#This Row],[Satış Miktarı]]*Table1[[#This Row],[Satış Fiyatı]]</f>
        <v>65987</v>
      </c>
      <c r="L662" t="s">
        <v>19</v>
      </c>
      <c r="M662" t="s">
        <v>38</v>
      </c>
      <c r="N662" t="s">
        <v>26</v>
      </c>
      <c r="O662">
        <v>0.2</v>
      </c>
      <c r="P662" t="s">
        <v>22</v>
      </c>
      <c r="Q662" t="s">
        <v>77</v>
      </c>
    </row>
    <row r="663" spans="1:17">
      <c r="A663">
        <v>828770349</v>
      </c>
      <c r="B663" t="s">
        <v>49</v>
      </c>
      <c r="C663" t="s">
        <v>34</v>
      </c>
      <c r="D663" s="1">
        <v>48194</v>
      </c>
      <c r="E663">
        <v>3338</v>
      </c>
      <c r="F663">
        <v>28</v>
      </c>
      <c r="G663" s="2">
        <v>8.3999999999999995E-3</v>
      </c>
      <c r="H663" s="2">
        <f>Table1[[#This Row],[İade Miktarı]]/Table1[[#This Row],[Satış Miktarı]]</f>
        <v>8.3882564409826239E-3</v>
      </c>
      <c r="I663" t="s">
        <v>18</v>
      </c>
      <c r="J663">
        <v>43</v>
      </c>
      <c r="K663">
        <f>Table1[[#This Row],[Satış Miktarı]]*Table1[[#This Row],[Satış Fiyatı]]</f>
        <v>143534</v>
      </c>
      <c r="L663" t="s">
        <v>19</v>
      </c>
      <c r="M663" t="s">
        <v>42</v>
      </c>
      <c r="N663" t="s">
        <v>26</v>
      </c>
      <c r="O663">
        <v>0.2</v>
      </c>
      <c r="P663" t="s">
        <v>27</v>
      </c>
      <c r="Q663" t="s">
        <v>23</v>
      </c>
    </row>
    <row r="664" spans="1:17">
      <c r="A664">
        <v>605576136</v>
      </c>
      <c r="B664" t="s">
        <v>51</v>
      </c>
      <c r="C664" t="s">
        <v>17</v>
      </c>
      <c r="D664" s="1">
        <v>48337</v>
      </c>
      <c r="E664">
        <v>2047</v>
      </c>
      <c r="F664">
        <v>22</v>
      </c>
      <c r="G664" s="2">
        <v>1.0699999999999999E-2</v>
      </c>
      <c r="H664" s="2">
        <f>Table1[[#This Row],[İade Miktarı]]/Table1[[#This Row],[Satış Miktarı]]</f>
        <v>1.074743527112848E-2</v>
      </c>
      <c r="I664" t="s">
        <v>18</v>
      </c>
      <c r="J664">
        <v>37</v>
      </c>
      <c r="K664">
        <f>Table1[[#This Row],[Satış Miktarı]]*Table1[[#This Row],[Satış Fiyatı]]</f>
        <v>75739</v>
      </c>
      <c r="L664" t="s">
        <v>19</v>
      </c>
      <c r="M664" t="s">
        <v>46</v>
      </c>
      <c r="N664" t="s">
        <v>76</v>
      </c>
      <c r="O664">
        <v>0.2</v>
      </c>
      <c r="P664" t="s">
        <v>27</v>
      </c>
      <c r="Q664" t="s">
        <v>28</v>
      </c>
    </row>
    <row r="665" spans="1:17">
      <c r="A665">
        <v>763252820</v>
      </c>
      <c r="B665" t="s">
        <v>54</v>
      </c>
      <c r="C665" t="s">
        <v>34</v>
      </c>
      <c r="D665" s="1">
        <v>48015</v>
      </c>
      <c r="E665">
        <v>3074</v>
      </c>
      <c r="F665">
        <v>11</v>
      </c>
      <c r="G665" s="2">
        <v>3.5999999999999999E-3</v>
      </c>
      <c r="H665" s="2">
        <f>Table1[[#This Row],[İade Miktarı]]/Table1[[#This Row],[Satış Miktarı]]</f>
        <v>3.5783994795055302E-3</v>
      </c>
      <c r="I665" t="s">
        <v>18</v>
      </c>
      <c r="J665">
        <v>49</v>
      </c>
      <c r="K665">
        <f>Table1[[#This Row],[Satış Miktarı]]*Table1[[#This Row],[Satış Fiyatı]]</f>
        <v>150626</v>
      </c>
      <c r="L665" t="s">
        <v>19</v>
      </c>
      <c r="M665" t="s">
        <v>46</v>
      </c>
      <c r="N665" t="s">
        <v>50</v>
      </c>
      <c r="O665">
        <v>0.2</v>
      </c>
      <c r="P665" t="s">
        <v>22</v>
      </c>
      <c r="Q665" t="s">
        <v>75</v>
      </c>
    </row>
    <row r="666" spans="1:17">
      <c r="A666">
        <v>582878971</v>
      </c>
      <c r="B666" t="s">
        <v>57</v>
      </c>
      <c r="C666" t="s">
        <v>34</v>
      </c>
      <c r="D666" s="1">
        <v>47658</v>
      </c>
      <c r="E666">
        <v>3645</v>
      </c>
      <c r="F666">
        <v>49</v>
      </c>
      <c r="G666" s="2">
        <v>1.34E-2</v>
      </c>
      <c r="H666" s="2">
        <f>Table1[[#This Row],[İade Miktarı]]/Table1[[#This Row],[Satış Miktarı]]</f>
        <v>1.3443072702331962E-2</v>
      </c>
      <c r="I666" t="s">
        <v>18</v>
      </c>
      <c r="J666">
        <v>27</v>
      </c>
      <c r="K666">
        <f>Table1[[#This Row],[Satış Miktarı]]*Table1[[#This Row],[Satış Fiyatı]]</f>
        <v>98415</v>
      </c>
      <c r="L666" t="s">
        <v>19</v>
      </c>
      <c r="M666" t="s">
        <v>52</v>
      </c>
      <c r="N666" t="s">
        <v>50</v>
      </c>
      <c r="O666">
        <v>0.2</v>
      </c>
      <c r="P666" t="s">
        <v>27</v>
      </c>
      <c r="Q666" t="s">
        <v>83</v>
      </c>
    </row>
    <row r="667" spans="1:17">
      <c r="A667">
        <v>833262378</v>
      </c>
      <c r="B667" t="s">
        <v>59</v>
      </c>
      <c r="C667" t="s">
        <v>17</v>
      </c>
      <c r="D667" s="1">
        <v>47606</v>
      </c>
      <c r="E667">
        <v>1306</v>
      </c>
      <c r="F667">
        <v>24</v>
      </c>
      <c r="G667" s="2">
        <v>1.84E-2</v>
      </c>
      <c r="H667" s="2">
        <f>Table1[[#This Row],[İade Miktarı]]/Table1[[#This Row],[Satış Miktarı]]</f>
        <v>1.8376722817764167E-2</v>
      </c>
      <c r="I667" t="s">
        <v>18</v>
      </c>
      <c r="J667">
        <v>47</v>
      </c>
      <c r="K667">
        <f>Table1[[#This Row],[Satış Miktarı]]*Table1[[#This Row],[Satış Fiyatı]]</f>
        <v>61382</v>
      </c>
      <c r="L667" t="s">
        <v>19</v>
      </c>
      <c r="M667" t="s">
        <v>55</v>
      </c>
      <c r="N667" t="s">
        <v>31</v>
      </c>
      <c r="O667">
        <v>0.2</v>
      </c>
      <c r="P667" t="s">
        <v>22</v>
      </c>
      <c r="Q667" t="s">
        <v>79</v>
      </c>
    </row>
    <row r="668" spans="1:17">
      <c r="A668">
        <v>134641486</v>
      </c>
      <c r="B668" t="s">
        <v>63</v>
      </c>
      <c r="C668" t="s">
        <v>17</v>
      </c>
      <c r="D668" s="1">
        <v>48236</v>
      </c>
      <c r="E668">
        <v>3946</v>
      </c>
      <c r="F668">
        <v>49</v>
      </c>
      <c r="G668" s="2">
        <v>1.24E-2</v>
      </c>
      <c r="H668" s="2">
        <f>Table1[[#This Row],[İade Miktarı]]/Table1[[#This Row],[Satış Miktarı]]</f>
        <v>1.2417638114546376E-2</v>
      </c>
      <c r="I668" t="s">
        <v>45</v>
      </c>
      <c r="J668">
        <v>37</v>
      </c>
      <c r="K668">
        <f>Table1[[#This Row],[Satış Miktarı]]*Table1[[#This Row],[Satış Fiyatı]]</f>
        <v>146002</v>
      </c>
      <c r="L668" t="s">
        <v>19</v>
      </c>
      <c r="M668" t="s">
        <v>58</v>
      </c>
      <c r="N668" t="s">
        <v>31</v>
      </c>
      <c r="O668">
        <v>0.2</v>
      </c>
      <c r="P668" t="s">
        <v>22</v>
      </c>
      <c r="Q668" t="s">
        <v>28</v>
      </c>
    </row>
    <row r="669" spans="1:17">
      <c r="A669">
        <v>573938383</v>
      </c>
      <c r="B669" t="s">
        <v>29</v>
      </c>
      <c r="C669" t="s">
        <v>17</v>
      </c>
      <c r="D669" s="1">
        <v>48308</v>
      </c>
      <c r="E669">
        <v>3536</v>
      </c>
      <c r="F669">
        <v>13</v>
      </c>
      <c r="G669" s="2">
        <v>3.7000000000000002E-3</v>
      </c>
      <c r="H669" s="2">
        <f>Table1[[#This Row],[İade Miktarı]]/Table1[[#This Row],[Satış Miktarı]]</f>
        <v>3.6764705882352941E-3</v>
      </c>
      <c r="I669" t="s">
        <v>18</v>
      </c>
      <c r="J669">
        <v>25</v>
      </c>
      <c r="K669">
        <f>Table1[[#This Row],[Satış Miktarı]]*Table1[[#This Row],[Satış Fiyatı]]</f>
        <v>88400</v>
      </c>
      <c r="L669" t="s">
        <v>19</v>
      </c>
      <c r="M669" t="s">
        <v>60</v>
      </c>
      <c r="N669" t="s">
        <v>39</v>
      </c>
      <c r="O669">
        <v>0.2</v>
      </c>
      <c r="P669" t="s">
        <v>22</v>
      </c>
      <c r="Q669" t="s">
        <v>83</v>
      </c>
    </row>
    <row r="670" spans="1:17">
      <c r="A670">
        <v>704740906</v>
      </c>
      <c r="B670" t="s">
        <v>33</v>
      </c>
      <c r="C670" t="s">
        <v>34</v>
      </c>
      <c r="D670" s="1">
        <v>47673</v>
      </c>
      <c r="E670">
        <v>3722</v>
      </c>
      <c r="F670">
        <v>17</v>
      </c>
      <c r="G670" s="2">
        <v>4.5999999999999999E-3</v>
      </c>
      <c r="H670" s="2">
        <f>Table1[[#This Row],[İade Miktarı]]/Table1[[#This Row],[Satış Miktarı]]</f>
        <v>4.5674368619022035E-3</v>
      </c>
      <c r="I670" t="s">
        <v>45</v>
      </c>
      <c r="J670">
        <v>34</v>
      </c>
      <c r="K670">
        <f>Table1[[#This Row],[Satış Miktarı]]*Table1[[#This Row],[Satış Fiyatı]]</f>
        <v>126548</v>
      </c>
      <c r="L670" t="s">
        <v>19</v>
      </c>
      <c r="M670" t="s">
        <v>64</v>
      </c>
      <c r="N670" t="s">
        <v>50</v>
      </c>
      <c r="O670">
        <v>0.2</v>
      </c>
      <c r="P670" t="s">
        <v>27</v>
      </c>
      <c r="Q670" t="s">
        <v>40</v>
      </c>
    </row>
    <row r="671" spans="1:17">
      <c r="A671">
        <v>336303704</v>
      </c>
      <c r="B671" t="s">
        <v>37</v>
      </c>
      <c r="C671" t="s">
        <v>34</v>
      </c>
      <c r="D671" s="1">
        <v>47871</v>
      </c>
      <c r="E671">
        <v>3038</v>
      </c>
      <c r="F671">
        <v>40</v>
      </c>
      <c r="G671" s="2">
        <v>1.32E-2</v>
      </c>
      <c r="H671" s="2">
        <f>Table1[[#This Row],[İade Miktarı]]/Table1[[#This Row],[Satış Miktarı]]</f>
        <v>1.3166556945358789E-2</v>
      </c>
      <c r="I671" t="s">
        <v>18</v>
      </c>
      <c r="J671">
        <v>22</v>
      </c>
      <c r="K671">
        <f>Table1[[#This Row],[Satış Miktarı]]*Table1[[#This Row],[Satış Fiyatı]]</f>
        <v>66836</v>
      </c>
      <c r="L671" t="s">
        <v>19</v>
      </c>
      <c r="M671" t="s">
        <v>68</v>
      </c>
      <c r="N671" t="s">
        <v>50</v>
      </c>
      <c r="O671">
        <v>0.2</v>
      </c>
      <c r="P671" t="s">
        <v>27</v>
      </c>
      <c r="Q671" t="s">
        <v>48</v>
      </c>
    </row>
    <row r="672" spans="1:17">
      <c r="A672">
        <v>415317580</v>
      </c>
      <c r="B672" t="s">
        <v>41</v>
      </c>
      <c r="C672" t="s">
        <v>17</v>
      </c>
      <c r="D672" s="1">
        <v>48572</v>
      </c>
      <c r="E672">
        <v>4320</v>
      </c>
      <c r="F672">
        <v>41</v>
      </c>
      <c r="G672" s="2">
        <v>9.4999999999999998E-3</v>
      </c>
      <c r="H672" s="2">
        <f>Table1[[#This Row],[İade Miktarı]]/Table1[[#This Row],[Satış Miktarı]]</f>
        <v>9.4907407407407406E-3</v>
      </c>
      <c r="I672" t="s">
        <v>18</v>
      </c>
      <c r="J672">
        <v>27</v>
      </c>
      <c r="K672">
        <f>Table1[[#This Row],[Satış Miktarı]]*Table1[[#This Row],[Satış Fiyatı]]</f>
        <v>116640</v>
      </c>
      <c r="L672" t="s">
        <v>19</v>
      </c>
      <c r="M672" t="s">
        <v>71</v>
      </c>
      <c r="N672" t="s">
        <v>78</v>
      </c>
      <c r="O672">
        <v>0.2</v>
      </c>
      <c r="P672" t="s">
        <v>22</v>
      </c>
      <c r="Q672" t="s">
        <v>48</v>
      </c>
    </row>
    <row r="673" spans="1:17">
      <c r="A673">
        <v>540091878</v>
      </c>
      <c r="B673" t="s">
        <v>44</v>
      </c>
      <c r="C673" t="s">
        <v>17</v>
      </c>
      <c r="D673" s="1">
        <v>47963</v>
      </c>
      <c r="E673">
        <v>4344</v>
      </c>
      <c r="F673">
        <v>19</v>
      </c>
      <c r="G673" s="2">
        <v>4.4000000000000003E-3</v>
      </c>
      <c r="H673" s="2">
        <f>Table1[[#This Row],[İade Miktarı]]/Table1[[#This Row],[Satış Miktarı]]</f>
        <v>4.3738489871086557E-3</v>
      </c>
      <c r="I673" t="s">
        <v>45</v>
      </c>
      <c r="J673">
        <v>39</v>
      </c>
      <c r="K673">
        <f>Table1[[#This Row],[Satış Miktarı]]*Table1[[#This Row],[Satış Fiyatı]]</f>
        <v>169416</v>
      </c>
      <c r="L673" t="s">
        <v>19</v>
      </c>
      <c r="M673" t="s">
        <v>74</v>
      </c>
      <c r="N673" t="s">
        <v>39</v>
      </c>
      <c r="O673">
        <v>0.2</v>
      </c>
      <c r="P673" t="s">
        <v>22</v>
      </c>
      <c r="Q673" t="s">
        <v>40</v>
      </c>
    </row>
    <row r="674" spans="1:17">
      <c r="A674">
        <v>767146035</v>
      </c>
      <c r="B674" t="s">
        <v>49</v>
      </c>
      <c r="C674" t="s">
        <v>34</v>
      </c>
      <c r="D674" s="1">
        <v>48476</v>
      </c>
      <c r="E674">
        <v>2624</v>
      </c>
      <c r="F674">
        <v>12</v>
      </c>
      <c r="G674" s="2">
        <v>4.5999999999999999E-3</v>
      </c>
      <c r="H674" s="2">
        <f>Table1[[#This Row],[İade Miktarı]]/Table1[[#This Row],[Satış Miktarı]]</f>
        <v>4.5731707317073168E-3</v>
      </c>
      <c r="I674" t="s">
        <v>18</v>
      </c>
      <c r="J674">
        <v>42</v>
      </c>
      <c r="K674">
        <f>Table1[[#This Row],[Satış Miktarı]]*Table1[[#This Row],[Satış Fiyatı]]</f>
        <v>110208</v>
      </c>
      <c r="L674" t="s">
        <v>19</v>
      </c>
      <c r="M674" t="s">
        <v>20</v>
      </c>
      <c r="N674" t="s">
        <v>65</v>
      </c>
      <c r="O674">
        <v>0.2</v>
      </c>
      <c r="P674" t="s">
        <v>27</v>
      </c>
      <c r="Q674" t="s">
        <v>83</v>
      </c>
    </row>
    <row r="675" spans="1:17">
      <c r="A675">
        <v>358207349</v>
      </c>
      <c r="B675" t="s">
        <v>51</v>
      </c>
      <c r="C675" t="s">
        <v>17</v>
      </c>
      <c r="D675" s="1">
        <v>47745</v>
      </c>
      <c r="E675">
        <v>2889</v>
      </c>
      <c r="F675">
        <v>36</v>
      </c>
      <c r="G675" s="2">
        <v>1.2500000000000001E-2</v>
      </c>
      <c r="H675" s="2">
        <f>Table1[[#This Row],[İade Miktarı]]/Table1[[#This Row],[Satış Miktarı]]</f>
        <v>1.2461059190031152E-2</v>
      </c>
      <c r="I675" t="s">
        <v>18</v>
      </c>
      <c r="J675">
        <v>49</v>
      </c>
      <c r="K675">
        <f>Table1[[#This Row],[Satış Miktarı]]*Table1[[#This Row],[Satış Fiyatı]]</f>
        <v>141561</v>
      </c>
      <c r="L675" t="s">
        <v>19</v>
      </c>
      <c r="M675" t="s">
        <v>25</v>
      </c>
      <c r="N675" t="s">
        <v>78</v>
      </c>
      <c r="O675">
        <v>0.2</v>
      </c>
      <c r="P675" t="s">
        <v>27</v>
      </c>
      <c r="Q675" t="s">
        <v>53</v>
      </c>
    </row>
    <row r="676" spans="1:17">
      <c r="A676">
        <v>75333749</v>
      </c>
      <c r="B676" t="s">
        <v>54</v>
      </c>
      <c r="C676" t="s">
        <v>34</v>
      </c>
      <c r="D676" s="1">
        <v>48570</v>
      </c>
      <c r="E676">
        <v>2863</v>
      </c>
      <c r="F676">
        <v>39</v>
      </c>
      <c r="G676" s="2">
        <v>1.3599999999999999E-2</v>
      </c>
      <c r="H676" s="2">
        <f>Table1[[#This Row],[İade Miktarı]]/Table1[[#This Row],[Satış Miktarı]]</f>
        <v>1.3622074746769124E-2</v>
      </c>
      <c r="I676" t="s">
        <v>18</v>
      </c>
      <c r="J676">
        <v>22</v>
      </c>
      <c r="K676">
        <f>Table1[[#This Row],[Satış Miktarı]]*Table1[[#This Row],[Satış Fiyatı]]</f>
        <v>62986</v>
      </c>
      <c r="L676" t="s">
        <v>19</v>
      </c>
      <c r="M676" t="s">
        <v>30</v>
      </c>
      <c r="N676" t="s">
        <v>78</v>
      </c>
      <c r="O676">
        <v>0.2</v>
      </c>
      <c r="P676" t="s">
        <v>27</v>
      </c>
      <c r="Q676" t="s">
        <v>83</v>
      </c>
    </row>
    <row r="677" spans="1:17">
      <c r="A677">
        <v>156056164</v>
      </c>
      <c r="B677" t="s">
        <v>57</v>
      </c>
      <c r="C677" t="s">
        <v>34</v>
      </c>
      <c r="D677" s="1">
        <v>47751</v>
      </c>
      <c r="E677">
        <v>1846</v>
      </c>
      <c r="F677">
        <v>41</v>
      </c>
      <c r="G677" s="2">
        <v>2.2200000000000001E-2</v>
      </c>
      <c r="H677" s="2">
        <f>Table1[[#This Row],[İade Miktarı]]/Table1[[#This Row],[Satış Miktarı]]</f>
        <v>2.2210184182015168E-2</v>
      </c>
      <c r="I677" t="s">
        <v>18</v>
      </c>
      <c r="J677">
        <v>41</v>
      </c>
      <c r="K677">
        <f>Table1[[#This Row],[Satış Miktarı]]*Table1[[#This Row],[Satış Fiyatı]]</f>
        <v>75686</v>
      </c>
      <c r="L677" t="s">
        <v>19</v>
      </c>
      <c r="M677" t="s">
        <v>35</v>
      </c>
      <c r="N677" t="s">
        <v>78</v>
      </c>
      <c r="O677">
        <v>0.2</v>
      </c>
      <c r="P677" t="s">
        <v>22</v>
      </c>
      <c r="Q677" t="s">
        <v>79</v>
      </c>
    </row>
    <row r="678" spans="1:17">
      <c r="A678">
        <v>811587084</v>
      </c>
      <c r="B678" t="s">
        <v>59</v>
      </c>
      <c r="C678" t="s">
        <v>17</v>
      </c>
      <c r="D678" s="1">
        <v>47635</v>
      </c>
      <c r="E678">
        <v>3266</v>
      </c>
      <c r="F678">
        <v>36</v>
      </c>
      <c r="G678" s="2">
        <v>1.0999999999999999E-2</v>
      </c>
      <c r="H678" s="2">
        <f>Table1[[#This Row],[İade Miktarı]]/Table1[[#This Row],[Satış Miktarı]]</f>
        <v>1.1022657685241886E-2</v>
      </c>
      <c r="I678" t="s">
        <v>45</v>
      </c>
      <c r="J678">
        <v>24</v>
      </c>
      <c r="K678">
        <f>Table1[[#This Row],[Satış Miktarı]]*Table1[[#This Row],[Satış Fiyatı]]</f>
        <v>78384</v>
      </c>
      <c r="L678" t="s">
        <v>19</v>
      </c>
      <c r="M678" t="s">
        <v>38</v>
      </c>
      <c r="N678" t="s">
        <v>78</v>
      </c>
      <c r="O678">
        <v>0.2</v>
      </c>
      <c r="P678" t="s">
        <v>27</v>
      </c>
      <c r="Q678" t="s">
        <v>36</v>
      </c>
    </row>
    <row r="679" spans="1:17">
      <c r="A679">
        <v>587479895</v>
      </c>
      <c r="B679" t="s">
        <v>63</v>
      </c>
      <c r="C679" t="s">
        <v>17</v>
      </c>
      <c r="D679" s="1">
        <v>48294</v>
      </c>
      <c r="E679">
        <v>4907</v>
      </c>
      <c r="F679">
        <v>21</v>
      </c>
      <c r="G679" s="2">
        <v>4.3E-3</v>
      </c>
      <c r="H679" s="2">
        <f>Table1[[#This Row],[İade Miktarı]]/Table1[[#This Row],[Satış Miktarı]]</f>
        <v>4.2796005706134095E-3</v>
      </c>
      <c r="I679" t="s">
        <v>18</v>
      </c>
      <c r="J679">
        <v>36</v>
      </c>
      <c r="K679">
        <f>Table1[[#This Row],[Satış Miktarı]]*Table1[[#This Row],[Satış Fiyatı]]</f>
        <v>176652</v>
      </c>
      <c r="L679" t="s">
        <v>19</v>
      </c>
      <c r="M679" t="s">
        <v>42</v>
      </c>
      <c r="N679" t="s">
        <v>61</v>
      </c>
      <c r="O679">
        <v>0.2</v>
      </c>
      <c r="P679" t="s">
        <v>27</v>
      </c>
      <c r="Q679" t="s">
        <v>69</v>
      </c>
    </row>
    <row r="680" spans="1:17">
      <c r="A680">
        <v>627584630</v>
      </c>
      <c r="B680" t="s">
        <v>67</v>
      </c>
      <c r="C680" t="s">
        <v>17</v>
      </c>
      <c r="D680" s="1">
        <v>48448</v>
      </c>
      <c r="E680">
        <v>2812</v>
      </c>
      <c r="F680">
        <v>29</v>
      </c>
      <c r="G680" s="2">
        <v>1.03E-2</v>
      </c>
      <c r="H680" s="2">
        <f>Table1[[#This Row],[İade Miktarı]]/Table1[[#This Row],[Satış Miktarı]]</f>
        <v>1.0312944523470839E-2</v>
      </c>
      <c r="I680" t="s">
        <v>18</v>
      </c>
      <c r="J680">
        <v>32</v>
      </c>
      <c r="K680">
        <f>Table1[[#This Row],[Satış Miktarı]]*Table1[[#This Row],[Satış Fiyatı]]</f>
        <v>89984</v>
      </c>
      <c r="L680" t="s">
        <v>19</v>
      </c>
      <c r="M680" t="s">
        <v>46</v>
      </c>
      <c r="N680" t="s">
        <v>31</v>
      </c>
      <c r="O680">
        <v>0.2</v>
      </c>
      <c r="P680" t="s">
        <v>22</v>
      </c>
      <c r="Q680" t="s">
        <v>32</v>
      </c>
    </row>
    <row r="681" spans="1:17">
      <c r="A681">
        <v>167486552</v>
      </c>
      <c r="B681" t="s">
        <v>70</v>
      </c>
      <c r="C681" t="s">
        <v>17</v>
      </c>
      <c r="D681" s="1">
        <v>48227</v>
      </c>
      <c r="E681">
        <v>4685</v>
      </c>
      <c r="F681">
        <v>31</v>
      </c>
      <c r="G681" s="2">
        <v>6.6E-3</v>
      </c>
      <c r="H681" s="2">
        <f>Table1[[#This Row],[İade Miktarı]]/Table1[[#This Row],[Satış Miktarı]]</f>
        <v>6.6168623265741725E-3</v>
      </c>
      <c r="I681" t="s">
        <v>45</v>
      </c>
      <c r="J681">
        <v>44</v>
      </c>
      <c r="K681">
        <f>Table1[[#This Row],[Satış Miktarı]]*Table1[[#This Row],[Satış Fiyatı]]</f>
        <v>206140</v>
      </c>
      <c r="L681" t="s">
        <v>19</v>
      </c>
      <c r="M681" t="s">
        <v>46</v>
      </c>
      <c r="N681" t="s">
        <v>61</v>
      </c>
      <c r="O681">
        <v>0.2</v>
      </c>
      <c r="P681" t="s">
        <v>27</v>
      </c>
      <c r="Q681" t="s">
        <v>28</v>
      </c>
    </row>
    <row r="682" spans="1:17">
      <c r="A682">
        <v>74502626</v>
      </c>
      <c r="B682" t="s">
        <v>73</v>
      </c>
      <c r="C682" t="s">
        <v>17</v>
      </c>
      <c r="D682" s="1">
        <v>48208</v>
      </c>
      <c r="E682">
        <v>4920</v>
      </c>
      <c r="F682">
        <v>33</v>
      </c>
      <c r="G682" s="2">
        <v>6.7000000000000002E-3</v>
      </c>
      <c r="H682" s="2">
        <f>Table1[[#This Row],[İade Miktarı]]/Table1[[#This Row],[Satış Miktarı]]</f>
        <v>6.7073170731707316E-3</v>
      </c>
      <c r="I682" t="s">
        <v>18</v>
      </c>
      <c r="J682">
        <v>33</v>
      </c>
      <c r="K682">
        <f>Table1[[#This Row],[Satış Miktarı]]*Table1[[#This Row],[Satış Fiyatı]]</f>
        <v>162360</v>
      </c>
      <c r="L682" t="s">
        <v>19</v>
      </c>
      <c r="M682" t="s">
        <v>52</v>
      </c>
      <c r="N682" t="s">
        <v>50</v>
      </c>
      <c r="O682">
        <v>0.2</v>
      </c>
      <c r="P682" t="s">
        <v>22</v>
      </c>
      <c r="Q682" t="s">
        <v>75</v>
      </c>
    </row>
    <row r="683" spans="1:17">
      <c r="A683">
        <v>710837851</v>
      </c>
      <c r="B683" t="s">
        <v>16</v>
      </c>
      <c r="C683" t="s">
        <v>17</v>
      </c>
      <c r="D683" s="1">
        <v>47808</v>
      </c>
      <c r="E683">
        <v>3782</v>
      </c>
      <c r="F683">
        <v>24</v>
      </c>
      <c r="G683" s="2">
        <v>6.3E-3</v>
      </c>
      <c r="H683" s="2">
        <f>Table1[[#This Row],[İade Miktarı]]/Table1[[#This Row],[Satış Miktarı]]</f>
        <v>6.345848757271285E-3</v>
      </c>
      <c r="I683" t="s">
        <v>18</v>
      </c>
      <c r="J683">
        <v>49</v>
      </c>
      <c r="K683">
        <f>Table1[[#This Row],[Satış Miktarı]]*Table1[[#This Row],[Satış Fiyatı]]</f>
        <v>185318</v>
      </c>
      <c r="L683" t="s">
        <v>19</v>
      </c>
      <c r="M683" t="s">
        <v>55</v>
      </c>
      <c r="N683" t="s">
        <v>47</v>
      </c>
      <c r="O683">
        <v>0.2</v>
      </c>
      <c r="P683" t="s">
        <v>27</v>
      </c>
      <c r="Q683" t="s">
        <v>77</v>
      </c>
    </row>
    <row r="684" spans="1:17">
      <c r="A684">
        <v>74824113</v>
      </c>
      <c r="B684" t="s">
        <v>24</v>
      </c>
      <c r="C684" t="s">
        <v>17</v>
      </c>
      <c r="D684" s="1">
        <v>48011</v>
      </c>
      <c r="E684">
        <v>1142</v>
      </c>
      <c r="F684">
        <v>23</v>
      </c>
      <c r="G684" s="2">
        <v>2.01E-2</v>
      </c>
      <c r="H684" s="2">
        <f>Table1[[#This Row],[İade Miktarı]]/Table1[[#This Row],[Satış Miktarı]]</f>
        <v>2.0140105078809107E-2</v>
      </c>
      <c r="I684" t="s">
        <v>18</v>
      </c>
      <c r="J684">
        <v>35</v>
      </c>
      <c r="K684">
        <f>Table1[[#This Row],[Satış Miktarı]]*Table1[[#This Row],[Satış Fiyatı]]</f>
        <v>39970</v>
      </c>
      <c r="L684" t="s">
        <v>19</v>
      </c>
      <c r="M684" t="s">
        <v>58</v>
      </c>
      <c r="N684" t="s">
        <v>43</v>
      </c>
      <c r="O684">
        <v>0.2</v>
      </c>
      <c r="P684" t="s">
        <v>22</v>
      </c>
      <c r="Q684" t="s">
        <v>82</v>
      </c>
    </row>
    <row r="685" spans="1:17">
      <c r="A685">
        <v>392853504</v>
      </c>
      <c r="B685" t="s">
        <v>29</v>
      </c>
      <c r="C685" t="s">
        <v>17</v>
      </c>
      <c r="D685" s="1">
        <v>47620</v>
      </c>
      <c r="E685">
        <v>3293</v>
      </c>
      <c r="F685">
        <v>17</v>
      </c>
      <c r="G685" s="2">
        <v>5.1999999999999998E-3</v>
      </c>
      <c r="H685" s="2">
        <f>Table1[[#This Row],[İade Miktarı]]/Table1[[#This Row],[Satış Miktarı]]</f>
        <v>5.1624658366231403E-3</v>
      </c>
      <c r="I685" t="s">
        <v>18</v>
      </c>
      <c r="J685">
        <v>42</v>
      </c>
      <c r="K685">
        <f>Table1[[#This Row],[Satış Miktarı]]*Table1[[#This Row],[Satış Fiyatı]]</f>
        <v>138306</v>
      </c>
      <c r="L685" t="s">
        <v>19</v>
      </c>
      <c r="M685" t="s">
        <v>60</v>
      </c>
      <c r="N685" t="s">
        <v>61</v>
      </c>
      <c r="O685">
        <v>0.2</v>
      </c>
      <c r="P685" t="s">
        <v>22</v>
      </c>
      <c r="Q685" t="s">
        <v>48</v>
      </c>
    </row>
    <row r="686" spans="1:17">
      <c r="A686">
        <v>703157153</v>
      </c>
      <c r="B686" t="s">
        <v>33</v>
      </c>
      <c r="C686" t="s">
        <v>34</v>
      </c>
      <c r="D686" s="1">
        <v>47886</v>
      </c>
      <c r="E686">
        <v>4683</v>
      </c>
      <c r="F686">
        <v>40</v>
      </c>
      <c r="G686" s="2">
        <v>8.5000000000000006E-3</v>
      </c>
      <c r="H686" s="2">
        <f>Table1[[#This Row],[İade Miktarı]]/Table1[[#This Row],[Satış Miktarı]]</f>
        <v>8.5415332052103353E-3</v>
      </c>
      <c r="I686" t="s">
        <v>18</v>
      </c>
      <c r="J686">
        <v>50</v>
      </c>
      <c r="K686">
        <f>Table1[[#This Row],[Satış Miktarı]]*Table1[[#This Row],[Satış Fiyatı]]</f>
        <v>234150</v>
      </c>
      <c r="L686" t="s">
        <v>19</v>
      </c>
      <c r="M686" t="s">
        <v>64</v>
      </c>
      <c r="N686" t="s">
        <v>21</v>
      </c>
      <c r="O686">
        <v>0.2</v>
      </c>
      <c r="P686" t="s">
        <v>27</v>
      </c>
      <c r="Q686" t="s">
        <v>82</v>
      </c>
    </row>
    <row r="687" spans="1:17">
      <c r="A687">
        <v>95318134</v>
      </c>
      <c r="B687" t="s">
        <v>37</v>
      </c>
      <c r="C687" t="s">
        <v>34</v>
      </c>
      <c r="D687" s="1">
        <v>48360</v>
      </c>
      <c r="E687">
        <v>4050</v>
      </c>
      <c r="F687">
        <v>13</v>
      </c>
      <c r="G687" s="2">
        <v>3.2000000000000002E-3</v>
      </c>
      <c r="H687" s="2">
        <f>Table1[[#This Row],[İade Miktarı]]/Table1[[#This Row],[Satış Miktarı]]</f>
        <v>3.2098765432098763E-3</v>
      </c>
      <c r="I687" t="s">
        <v>18</v>
      </c>
      <c r="J687">
        <v>23</v>
      </c>
      <c r="K687">
        <f>Table1[[#This Row],[Satış Miktarı]]*Table1[[#This Row],[Satış Fiyatı]]</f>
        <v>93150</v>
      </c>
      <c r="L687" t="s">
        <v>19</v>
      </c>
      <c r="M687" t="s">
        <v>68</v>
      </c>
      <c r="N687" t="s">
        <v>61</v>
      </c>
      <c r="O687">
        <v>0.2</v>
      </c>
      <c r="P687" t="s">
        <v>22</v>
      </c>
      <c r="Q687" t="s">
        <v>72</v>
      </c>
    </row>
    <row r="688" spans="1:17">
      <c r="A688">
        <v>210666394</v>
      </c>
      <c r="B688" t="s">
        <v>41</v>
      </c>
      <c r="C688" t="s">
        <v>17</v>
      </c>
      <c r="D688" s="1">
        <v>48353</v>
      </c>
      <c r="E688">
        <v>1535</v>
      </c>
      <c r="F688">
        <v>12</v>
      </c>
      <c r="G688" s="2">
        <v>7.7999999999999996E-3</v>
      </c>
      <c r="H688" s="2">
        <f>Table1[[#This Row],[İade Miktarı]]/Table1[[#This Row],[Satış Miktarı]]</f>
        <v>7.8175895765472316E-3</v>
      </c>
      <c r="I688" t="s">
        <v>18</v>
      </c>
      <c r="J688">
        <v>34</v>
      </c>
      <c r="K688">
        <f>Table1[[#This Row],[Satış Miktarı]]*Table1[[#This Row],[Satış Fiyatı]]</f>
        <v>52190</v>
      </c>
      <c r="L688" t="s">
        <v>19</v>
      </c>
      <c r="M688" t="s">
        <v>71</v>
      </c>
      <c r="N688" t="s">
        <v>39</v>
      </c>
      <c r="O688">
        <v>0.2</v>
      </c>
      <c r="P688" t="s">
        <v>22</v>
      </c>
      <c r="Q688" t="s">
        <v>66</v>
      </c>
    </row>
    <row r="689" spans="1:17">
      <c r="A689">
        <v>752199458</v>
      </c>
      <c r="B689" t="s">
        <v>44</v>
      </c>
      <c r="C689" t="s">
        <v>17</v>
      </c>
      <c r="D689" s="1">
        <v>48562</v>
      </c>
      <c r="E689">
        <v>4441</v>
      </c>
      <c r="F689">
        <v>21</v>
      </c>
      <c r="G689" s="2">
        <v>4.7000000000000002E-3</v>
      </c>
      <c r="H689" s="2">
        <f>Table1[[#This Row],[İade Miktarı]]/Table1[[#This Row],[Satış Miktarı]]</f>
        <v>4.7286647151542445E-3</v>
      </c>
      <c r="I689" t="s">
        <v>18</v>
      </c>
      <c r="J689">
        <v>50</v>
      </c>
      <c r="K689">
        <f>Table1[[#This Row],[Satış Miktarı]]*Table1[[#This Row],[Satış Fiyatı]]</f>
        <v>222050</v>
      </c>
      <c r="L689" t="s">
        <v>19</v>
      </c>
      <c r="M689" t="s">
        <v>74</v>
      </c>
      <c r="N689" t="s">
        <v>31</v>
      </c>
      <c r="O689">
        <v>0.2</v>
      </c>
      <c r="P689" t="s">
        <v>27</v>
      </c>
      <c r="Q689" t="s">
        <v>53</v>
      </c>
    </row>
    <row r="690" spans="1:17">
      <c r="A690">
        <v>356955567</v>
      </c>
      <c r="B690" t="s">
        <v>49</v>
      </c>
      <c r="C690" t="s">
        <v>34</v>
      </c>
      <c r="D690" s="1">
        <v>48485</v>
      </c>
      <c r="E690">
        <v>4464</v>
      </c>
      <c r="F690">
        <v>24</v>
      </c>
      <c r="G690" s="2">
        <v>5.4000000000000003E-3</v>
      </c>
      <c r="H690" s="2">
        <f>Table1[[#This Row],[İade Miktarı]]/Table1[[#This Row],[Satış Miktarı]]</f>
        <v>5.3763440860215058E-3</v>
      </c>
      <c r="I690" t="s">
        <v>18</v>
      </c>
      <c r="J690">
        <v>20</v>
      </c>
      <c r="K690">
        <f>Table1[[#This Row],[Satış Miktarı]]*Table1[[#This Row],[Satış Fiyatı]]</f>
        <v>89280</v>
      </c>
      <c r="L690" t="s">
        <v>19</v>
      </c>
      <c r="M690" t="s">
        <v>20</v>
      </c>
      <c r="N690" t="s">
        <v>21</v>
      </c>
      <c r="O690">
        <v>0.2</v>
      </c>
      <c r="P690" t="s">
        <v>27</v>
      </c>
      <c r="Q690" t="s">
        <v>32</v>
      </c>
    </row>
    <row r="691" spans="1:17">
      <c r="A691">
        <v>960616472</v>
      </c>
      <c r="B691" t="s">
        <v>51</v>
      </c>
      <c r="C691" t="s">
        <v>17</v>
      </c>
      <c r="D691" s="1">
        <v>47643</v>
      </c>
      <c r="E691">
        <v>4061</v>
      </c>
      <c r="F691">
        <v>41</v>
      </c>
      <c r="G691" s="2">
        <v>1.01E-2</v>
      </c>
      <c r="H691" s="2">
        <f>Table1[[#This Row],[İade Miktarı]]/Table1[[#This Row],[Satış Miktarı]]</f>
        <v>1.0096035459246491E-2</v>
      </c>
      <c r="I691" t="s">
        <v>18</v>
      </c>
      <c r="J691">
        <v>33</v>
      </c>
      <c r="K691">
        <f>Table1[[#This Row],[Satış Miktarı]]*Table1[[#This Row],[Satış Fiyatı]]</f>
        <v>134013</v>
      </c>
      <c r="L691" t="s">
        <v>19</v>
      </c>
      <c r="M691" t="s">
        <v>25</v>
      </c>
      <c r="N691" t="s">
        <v>47</v>
      </c>
      <c r="O691">
        <v>0.2</v>
      </c>
      <c r="P691" t="s">
        <v>22</v>
      </c>
      <c r="Q691" t="s">
        <v>48</v>
      </c>
    </row>
    <row r="692" spans="1:17">
      <c r="A692">
        <v>746531583</v>
      </c>
      <c r="B692" t="s">
        <v>54</v>
      </c>
      <c r="C692" t="s">
        <v>34</v>
      </c>
      <c r="D692" s="1">
        <v>48578</v>
      </c>
      <c r="E692">
        <v>3678</v>
      </c>
      <c r="F692">
        <v>25</v>
      </c>
      <c r="G692" s="2">
        <v>6.7999999999999996E-3</v>
      </c>
      <c r="H692" s="2">
        <f>Table1[[#This Row],[İade Miktarı]]/Table1[[#This Row],[Satış Miktarı]]</f>
        <v>6.797172376291463E-3</v>
      </c>
      <c r="I692" t="s">
        <v>18</v>
      </c>
      <c r="J692">
        <v>49</v>
      </c>
      <c r="K692">
        <f>Table1[[#This Row],[Satış Miktarı]]*Table1[[#This Row],[Satış Fiyatı]]</f>
        <v>180222</v>
      </c>
      <c r="L692" t="s">
        <v>19</v>
      </c>
      <c r="M692" t="s">
        <v>30</v>
      </c>
      <c r="N692" t="s">
        <v>26</v>
      </c>
      <c r="O692">
        <v>0.2</v>
      </c>
      <c r="P692" t="s">
        <v>22</v>
      </c>
      <c r="Q692" t="s">
        <v>72</v>
      </c>
    </row>
    <row r="693" spans="1:17">
      <c r="A693">
        <v>278103935</v>
      </c>
      <c r="B693" t="s">
        <v>57</v>
      </c>
      <c r="C693" t="s">
        <v>34</v>
      </c>
      <c r="D693" s="1">
        <v>48385</v>
      </c>
      <c r="E693">
        <v>4203</v>
      </c>
      <c r="F693">
        <v>34</v>
      </c>
      <c r="G693" s="2">
        <v>8.0999999999999996E-3</v>
      </c>
      <c r="H693" s="2">
        <f>Table1[[#This Row],[İade Miktarı]]/Table1[[#This Row],[Satış Miktarı]]</f>
        <v>8.0894599095883892E-3</v>
      </c>
      <c r="I693" t="s">
        <v>18</v>
      </c>
      <c r="J693">
        <v>38</v>
      </c>
      <c r="K693">
        <f>Table1[[#This Row],[Satış Miktarı]]*Table1[[#This Row],[Satış Fiyatı]]</f>
        <v>159714</v>
      </c>
      <c r="L693" t="s">
        <v>19</v>
      </c>
      <c r="M693" t="s">
        <v>35</v>
      </c>
      <c r="N693" t="s">
        <v>21</v>
      </c>
      <c r="O693">
        <v>0.2</v>
      </c>
      <c r="P693" t="s">
        <v>22</v>
      </c>
      <c r="Q693" t="s">
        <v>40</v>
      </c>
    </row>
    <row r="694" spans="1:17">
      <c r="A694">
        <v>468629234</v>
      </c>
      <c r="B694" t="s">
        <v>59</v>
      </c>
      <c r="C694" t="s">
        <v>17</v>
      </c>
      <c r="D694" s="1">
        <v>47752</v>
      </c>
      <c r="E694">
        <v>3486</v>
      </c>
      <c r="F694">
        <v>25</v>
      </c>
      <c r="G694" s="2">
        <v>7.1999999999999998E-3</v>
      </c>
      <c r="H694" s="2">
        <f>Table1[[#This Row],[İade Miktarı]]/Table1[[#This Row],[Satış Miktarı]]</f>
        <v>7.1715433161216296E-3</v>
      </c>
      <c r="I694" t="s">
        <v>18</v>
      </c>
      <c r="J694">
        <v>31</v>
      </c>
      <c r="K694">
        <f>Table1[[#This Row],[Satış Miktarı]]*Table1[[#This Row],[Satış Fiyatı]]</f>
        <v>108066</v>
      </c>
      <c r="L694" t="s">
        <v>19</v>
      </c>
      <c r="M694" t="s">
        <v>38</v>
      </c>
      <c r="N694" t="s">
        <v>43</v>
      </c>
      <c r="O694">
        <v>0.2</v>
      </c>
      <c r="P694" t="s">
        <v>27</v>
      </c>
      <c r="Q694" t="s">
        <v>66</v>
      </c>
    </row>
    <row r="695" spans="1:17">
      <c r="A695">
        <v>734343348</v>
      </c>
      <c r="B695" t="s">
        <v>63</v>
      </c>
      <c r="C695" t="s">
        <v>17</v>
      </c>
      <c r="D695" s="1">
        <v>47811</v>
      </c>
      <c r="E695">
        <v>1692</v>
      </c>
      <c r="F695">
        <v>23</v>
      </c>
      <c r="G695" s="2">
        <v>1.3599999999999999E-2</v>
      </c>
      <c r="H695" s="2">
        <f>Table1[[#This Row],[İade Miktarı]]/Table1[[#This Row],[Satış Miktarı]]</f>
        <v>1.3593380614657211E-2</v>
      </c>
      <c r="I695" t="s">
        <v>18</v>
      </c>
      <c r="J695">
        <v>28</v>
      </c>
      <c r="K695">
        <f>Table1[[#This Row],[Satış Miktarı]]*Table1[[#This Row],[Satış Fiyatı]]</f>
        <v>47376</v>
      </c>
      <c r="L695" t="s">
        <v>19</v>
      </c>
      <c r="M695" t="s">
        <v>42</v>
      </c>
      <c r="N695" t="s">
        <v>31</v>
      </c>
      <c r="O695">
        <v>0.2</v>
      </c>
      <c r="P695" t="s">
        <v>27</v>
      </c>
      <c r="Q695" t="s">
        <v>66</v>
      </c>
    </row>
    <row r="696" spans="1:17">
      <c r="A696">
        <v>933093888</v>
      </c>
      <c r="B696" t="s">
        <v>67</v>
      </c>
      <c r="C696" t="s">
        <v>17</v>
      </c>
      <c r="D696" s="1">
        <v>48499</v>
      </c>
      <c r="E696">
        <v>2513</v>
      </c>
      <c r="F696">
        <v>12</v>
      </c>
      <c r="G696" s="2">
        <v>4.7999999999999996E-3</v>
      </c>
      <c r="H696" s="2">
        <f>Table1[[#This Row],[İade Miktarı]]/Table1[[#This Row],[Satış Miktarı]]</f>
        <v>4.7751691205730204E-3</v>
      </c>
      <c r="I696" t="s">
        <v>18</v>
      </c>
      <c r="J696">
        <v>34</v>
      </c>
      <c r="K696">
        <f>Table1[[#This Row],[Satış Miktarı]]*Table1[[#This Row],[Satış Fiyatı]]</f>
        <v>85442</v>
      </c>
      <c r="L696" t="s">
        <v>19</v>
      </c>
      <c r="M696" t="s">
        <v>46</v>
      </c>
      <c r="N696" t="s">
        <v>21</v>
      </c>
      <c r="O696">
        <v>0.2</v>
      </c>
      <c r="P696" t="s">
        <v>27</v>
      </c>
      <c r="Q696" t="s">
        <v>40</v>
      </c>
    </row>
    <row r="697" spans="1:17">
      <c r="A697">
        <v>492507350</v>
      </c>
      <c r="B697" t="s">
        <v>70</v>
      </c>
      <c r="C697" t="s">
        <v>17</v>
      </c>
      <c r="D697" s="1">
        <v>47632</v>
      </c>
      <c r="E697">
        <v>3126</v>
      </c>
      <c r="F697">
        <v>26</v>
      </c>
      <c r="G697" s="2">
        <v>8.3000000000000001E-3</v>
      </c>
      <c r="H697" s="2">
        <f>Table1[[#This Row],[İade Miktarı]]/Table1[[#This Row],[Satış Miktarı]]</f>
        <v>8.3173384516954576E-3</v>
      </c>
      <c r="I697" t="s">
        <v>18</v>
      </c>
      <c r="J697">
        <v>43</v>
      </c>
      <c r="K697">
        <f>Table1[[#This Row],[Satış Miktarı]]*Table1[[#This Row],[Satış Fiyatı]]</f>
        <v>134418</v>
      </c>
      <c r="L697" t="s">
        <v>19</v>
      </c>
      <c r="M697" t="s">
        <v>46</v>
      </c>
      <c r="N697" t="s">
        <v>78</v>
      </c>
      <c r="O697">
        <v>0.2</v>
      </c>
      <c r="P697" t="s">
        <v>27</v>
      </c>
      <c r="Q697" t="s">
        <v>40</v>
      </c>
    </row>
    <row r="698" spans="1:17">
      <c r="A698">
        <v>290714739</v>
      </c>
      <c r="B698" t="s">
        <v>73</v>
      </c>
      <c r="C698" t="s">
        <v>17</v>
      </c>
      <c r="D698" s="1">
        <v>47620</v>
      </c>
      <c r="E698">
        <v>3986</v>
      </c>
      <c r="F698">
        <v>30</v>
      </c>
      <c r="G698" s="2">
        <v>7.4999999999999997E-3</v>
      </c>
      <c r="H698" s="2">
        <f>Table1[[#This Row],[İade Miktarı]]/Table1[[#This Row],[Satış Miktarı]]</f>
        <v>7.526342197691922E-3</v>
      </c>
      <c r="I698" t="s">
        <v>18</v>
      </c>
      <c r="J698">
        <v>48</v>
      </c>
      <c r="K698">
        <f>Table1[[#This Row],[Satış Miktarı]]*Table1[[#This Row],[Satış Fiyatı]]</f>
        <v>191328</v>
      </c>
      <c r="L698" t="s">
        <v>19</v>
      </c>
      <c r="M698" t="s">
        <v>52</v>
      </c>
      <c r="N698" t="s">
        <v>39</v>
      </c>
      <c r="O698">
        <v>0.2</v>
      </c>
      <c r="P698" t="s">
        <v>27</v>
      </c>
      <c r="Q698" t="s">
        <v>83</v>
      </c>
    </row>
    <row r="699" spans="1:17">
      <c r="A699">
        <v>108463067</v>
      </c>
      <c r="B699" t="s">
        <v>16</v>
      </c>
      <c r="C699" t="s">
        <v>17</v>
      </c>
      <c r="D699" s="1">
        <v>48076</v>
      </c>
      <c r="E699">
        <v>1424</v>
      </c>
      <c r="F699">
        <v>39</v>
      </c>
      <c r="G699" s="2">
        <v>2.7400000000000001E-2</v>
      </c>
      <c r="H699" s="2">
        <f>Table1[[#This Row],[İade Miktarı]]/Table1[[#This Row],[Satış Miktarı]]</f>
        <v>2.7387640449438203E-2</v>
      </c>
      <c r="I699" t="s">
        <v>18</v>
      </c>
      <c r="J699">
        <v>36</v>
      </c>
      <c r="K699">
        <f>Table1[[#This Row],[Satış Miktarı]]*Table1[[#This Row],[Satış Fiyatı]]</f>
        <v>51264</v>
      </c>
      <c r="L699" t="s">
        <v>19</v>
      </c>
      <c r="M699" t="s">
        <v>55</v>
      </c>
      <c r="N699" t="s">
        <v>26</v>
      </c>
      <c r="O699">
        <v>0.2</v>
      </c>
      <c r="P699" t="s">
        <v>27</v>
      </c>
      <c r="Q699" t="s">
        <v>79</v>
      </c>
    </row>
    <row r="700" spans="1:17">
      <c r="A700">
        <v>905521854</v>
      </c>
      <c r="B700" t="s">
        <v>24</v>
      </c>
      <c r="C700" t="s">
        <v>17</v>
      </c>
      <c r="D700" s="1">
        <v>48260</v>
      </c>
      <c r="E700">
        <v>1915</v>
      </c>
      <c r="F700">
        <v>21</v>
      </c>
      <c r="G700" s="2">
        <v>1.0999999999999999E-2</v>
      </c>
      <c r="H700" s="2">
        <f>Table1[[#This Row],[İade Miktarı]]/Table1[[#This Row],[Satış Miktarı]]</f>
        <v>1.0966057441253264E-2</v>
      </c>
      <c r="I700" t="s">
        <v>18</v>
      </c>
      <c r="J700">
        <v>40</v>
      </c>
      <c r="K700">
        <f>Table1[[#This Row],[Satış Miktarı]]*Table1[[#This Row],[Satış Fiyatı]]</f>
        <v>76600</v>
      </c>
      <c r="L700" t="s">
        <v>19</v>
      </c>
      <c r="M700" t="s">
        <v>58</v>
      </c>
      <c r="N700" t="s">
        <v>26</v>
      </c>
      <c r="O700">
        <v>0.2</v>
      </c>
      <c r="P700" t="s">
        <v>27</v>
      </c>
      <c r="Q700" t="s">
        <v>23</v>
      </c>
    </row>
    <row r="701" spans="1:17">
      <c r="A701">
        <v>486592548</v>
      </c>
      <c r="B701" t="s">
        <v>29</v>
      </c>
      <c r="C701" t="s">
        <v>17</v>
      </c>
      <c r="D701" s="1">
        <v>48506</v>
      </c>
      <c r="E701">
        <v>3750</v>
      </c>
      <c r="F701">
        <v>37</v>
      </c>
      <c r="G701" s="2">
        <v>9.9000000000000008E-3</v>
      </c>
      <c r="H701" s="2">
        <f>Table1[[#This Row],[İade Miktarı]]/Table1[[#This Row],[Satış Miktarı]]</f>
        <v>9.8666666666666659E-3</v>
      </c>
      <c r="I701" t="s">
        <v>18</v>
      </c>
      <c r="J701">
        <v>37</v>
      </c>
      <c r="K701">
        <f>Table1[[#This Row],[Satış Miktarı]]*Table1[[#This Row],[Satış Fiyatı]]</f>
        <v>138750</v>
      </c>
      <c r="L701" t="s">
        <v>19</v>
      </c>
      <c r="M701" t="s">
        <v>60</v>
      </c>
      <c r="N701" t="s">
        <v>61</v>
      </c>
      <c r="O701">
        <v>0.2</v>
      </c>
      <c r="P701" t="s">
        <v>22</v>
      </c>
      <c r="Q701" t="s">
        <v>72</v>
      </c>
    </row>
    <row r="702" spans="1:17">
      <c r="A702">
        <v>63405809</v>
      </c>
      <c r="B702" t="s">
        <v>33</v>
      </c>
      <c r="C702" t="s">
        <v>34</v>
      </c>
      <c r="D702" s="1">
        <v>47691</v>
      </c>
      <c r="E702">
        <v>1312</v>
      </c>
      <c r="F702">
        <v>34</v>
      </c>
      <c r="G702" s="2">
        <v>2.5899999999999999E-2</v>
      </c>
      <c r="H702" s="2">
        <f>Table1[[#This Row],[İade Miktarı]]/Table1[[#This Row],[Satış Miktarı]]</f>
        <v>2.5914634146341462E-2</v>
      </c>
      <c r="I702" t="s">
        <v>18</v>
      </c>
      <c r="J702">
        <v>47</v>
      </c>
      <c r="K702">
        <f>Table1[[#This Row],[Satış Miktarı]]*Table1[[#This Row],[Satış Fiyatı]]</f>
        <v>61664</v>
      </c>
      <c r="L702" t="s">
        <v>19</v>
      </c>
      <c r="M702" t="s">
        <v>64</v>
      </c>
      <c r="N702" t="s">
        <v>47</v>
      </c>
      <c r="O702">
        <v>0.2</v>
      </c>
      <c r="P702" t="s">
        <v>27</v>
      </c>
      <c r="Q702" t="s">
        <v>40</v>
      </c>
    </row>
    <row r="703" spans="1:17">
      <c r="A703">
        <v>362928372</v>
      </c>
      <c r="B703" t="s">
        <v>37</v>
      </c>
      <c r="C703" t="s">
        <v>34</v>
      </c>
      <c r="D703" s="1">
        <v>47929</v>
      </c>
      <c r="E703">
        <v>3806</v>
      </c>
      <c r="F703">
        <v>17</v>
      </c>
      <c r="G703" s="2">
        <v>4.4999999999999997E-3</v>
      </c>
      <c r="H703" s="2">
        <f>Table1[[#This Row],[İade Miktarı]]/Table1[[#This Row],[Satış Miktarı]]</f>
        <v>4.4666316342616922E-3</v>
      </c>
      <c r="I703" t="s">
        <v>45</v>
      </c>
      <c r="J703">
        <v>46</v>
      </c>
      <c r="K703">
        <f>Table1[[#This Row],[Satış Miktarı]]*Table1[[#This Row],[Satış Fiyatı]]</f>
        <v>175076</v>
      </c>
      <c r="L703" t="s">
        <v>19</v>
      </c>
      <c r="M703" t="s">
        <v>68</v>
      </c>
      <c r="N703" t="s">
        <v>65</v>
      </c>
      <c r="O703">
        <v>0.2</v>
      </c>
      <c r="P703" t="s">
        <v>22</v>
      </c>
      <c r="Q703" t="s">
        <v>53</v>
      </c>
    </row>
    <row r="704" spans="1:17">
      <c r="A704">
        <v>375323826</v>
      </c>
      <c r="B704" t="s">
        <v>41</v>
      </c>
      <c r="C704" t="s">
        <v>17</v>
      </c>
      <c r="D704" s="1">
        <v>47950</v>
      </c>
      <c r="E704">
        <v>4019</v>
      </c>
      <c r="F704">
        <v>48</v>
      </c>
      <c r="G704" s="2">
        <v>1.1900000000000001E-2</v>
      </c>
      <c r="H704" s="2">
        <f>Table1[[#This Row],[İade Miktarı]]/Table1[[#This Row],[Satış Miktarı]]</f>
        <v>1.1943269470017417E-2</v>
      </c>
      <c r="I704" t="s">
        <v>18</v>
      </c>
      <c r="J704">
        <v>41</v>
      </c>
      <c r="K704">
        <f>Table1[[#This Row],[Satış Miktarı]]*Table1[[#This Row],[Satış Fiyatı]]</f>
        <v>164779</v>
      </c>
      <c r="L704" t="s">
        <v>19</v>
      </c>
      <c r="M704" t="s">
        <v>71</v>
      </c>
      <c r="N704" t="s">
        <v>31</v>
      </c>
      <c r="O704">
        <v>0.2</v>
      </c>
      <c r="P704" t="s">
        <v>22</v>
      </c>
      <c r="Q704" t="s">
        <v>56</v>
      </c>
    </row>
    <row r="705" spans="1:17">
      <c r="A705">
        <v>48754793</v>
      </c>
      <c r="B705" t="s">
        <v>44</v>
      </c>
      <c r="C705" t="s">
        <v>17</v>
      </c>
      <c r="D705" s="1">
        <v>47644</v>
      </c>
      <c r="E705">
        <v>2892</v>
      </c>
      <c r="F705">
        <v>27</v>
      </c>
      <c r="G705" s="2">
        <v>9.2999999999999992E-3</v>
      </c>
      <c r="H705" s="2">
        <f>Table1[[#This Row],[İade Miktarı]]/Table1[[#This Row],[Satış Miktarı]]</f>
        <v>9.3360995850622405E-3</v>
      </c>
      <c r="I705" t="s">
        <v>18</v>
      </c>
      <c r="J705">
        <v>23</v>
      </c>
      <c r="K705">
        <f>Table1[[#This Row],[Satış Miktarı]]*Table1[[#This Row],[Satış Fiyatı]]</f>
        <v>66516</v>
      </c>
      <c r="L705" t="s">
        <v>19</v>
      </c>
      <c r="M705" t="s">
        <v>74</v>
      </c>
      <c r="N705" t="s">
        <v>65</v>
      </c>
      <c r="O705">
        <v>0.2</v>
      </c>
      <c r="P705" t="s">
        <v>27</v>
      </c>
      <c r="Q705" t="s">
        <v>36</v>
      </c>
    </row>
    <row r="706" spans="1:17">
      <c r="A706">
        <v>680616963</v>
      </c>
      <c r="B706" t="s">
        <v>49</v>
      </c>
      <c r="C706" t="s">
        <v>34</v>
      </c>
      <c r="D706" s="1">
        <v>47940</v>
      </c>
      <c r="E706">
        <v>2389</v>
      </c>
      <c r="F706">
        <v>30</v>
      </c>
      <c r="G706" s="2">
        <v>1.26E-2</v>
      </c>
      <c r="H706" s="2">
        <f>Table1[[#This Row],[İade Miktarı]]/Table1[[#This Row],[Satış Miktarı]]</f>
        <v>1.2557555462536627E-2</v>
      </c>
      <c r="I706" t="s">
        <v>18</v>
      </c>
      <c r="J706">
        <v>26</v>
      </c>
      <c r="K706">
        <f>Table1[[#This Row],[Satış Miktarı]]*Table1[[#This Row],[Satış Fiyatı]]</f>
        <v>62114</v>
      </c>
      <c r="L706" t="s">
        <v>19</v>
      </c>
      <c r="M706" t="s">
        <v>20</v>
      </c>
      <c r="N706" t="s">
        <v>31</v>
      </c>
      <c r="O706">
        <v>0.2</v>
      </c>
      <c r="P706" t="s">
        <v>22</v>
      </c>
      <c r="Q706" t="s">
        <v>56</v>
      </c>
    </row>
    <row r="707" spans="1:17">
      <c r="A707">
        <v>618391211</v>
      </c>
      <c r="B707" t="s">
        <v>51</v>
      </c>
      <c r="C707" t="s">
        <v>17</v>
      </c>
      <c r="D707" s="1">
        <v>48419</v>
      </c>
      <c r="E707">
        <v>2418</v>
      </c>
      <c r="F707">
        <v>10</v>
      </c>
      <c r="G707" s="2">
        <v>4.1000000000000003E-3</v>
      </c>
      <c r="H707" s="2">
        <f>Table1[[#This Row],[İade Miktarı]]/Table1[[#This Row],[Satış Miktarı]]</f>
        <v>4.1356492969396195E-3</v>
      </c>
      <c r="I707" t="s">
        <v>18</v>
      </c>
      <c r="J707">
        <v>48</v>
      </c>
      <c r="K707">
        <f>Table1[[#This Row],[Satış Miktarı]]*Table1[[#This Row],[Satış Fiyatı]]</f>
        <v>116064</v>
      </c>
      <c r="L707" t="s">
        <v>19</v>
      </c>
      <c r="M707" t="s">
        <v>25</v>
      </c>
      <c r="N707" t="s">
        <v>43</v>
      </c>
      <c r="O707">
        <v>0.2</v>
      </c>
      <c r="P707" t="s">
        <v>22</v>
      </c>
      <c r="Q707" t="s">
        <v>77</v>
      </c>
    </row>
    <row r="708" spans="1:17">
      <c r="A708">
        <v>992790193</v>
      </c>
      <c r="B708" t="s">
        <v>54</v>
      </c>
      <c r="C708" t="s">
        <v>34</v>
      </c>
      <c r="D708" s="1">
        <v>47882</v>
      </c>
      <c r="E708">
        <v>3857</v>
      </c>
      <c r="F708">
        <v>29</v>
      </c>
      <c r="G708" s="2">
        <v>7.4999999999999997E-3</v>
      </c>
      <c r="H708" s="2">
        <f>Table1[[#This Row],[İade Miktarı]]/Table1[[#This Row],[Satış Miktarı]]</f>
        <v>7.5187969924812026E-3</v>
      </c>
      <c r="I708" t="s">
        <v>87</v>
      </c>
      <c r="J708">
        <v>36</v>
      </c>
      <c r="K708">
        <f>Table1[[#This Row],[Satış Miktarı]]*Table1[[#This Row],[Satış Fiyatı]]</f>
        <v>138852</v>
      </c>
      <c r="L708" t="s">
        <v>88</v>
      </c>
      <c r="M708" t="s">
        <v>30</v>
      </c>
      <c r="N708" t="s">
        <v>47</v>
      </c>
      <c r="O708">
        <v>0.2</v>
      </c>
      <c r="P708" t="s">
        <v>27</v>
      </c>
      <c r="Q708" t="s">
        <v>72</v>
      </c>
    </row>
    <row r="709" spans="1:17">
      <c r="A709">
        <v>952982838</v>
      </c>
      <c r="B709" t="s">
        <v>57</v>
      </c>
      <c r="C709" t="s">
        <v>34</v>
      </c>
      <c r="D709" s="1">
        <v>47981</v>
      </c>
      <c r="E709">
        <v>1013</v>
      </c>
      <c r="F709">
        <v>14</v>
      </c>
      <c r="G709" s="2">
        <v>1.38E-2</v>
      </c>
      <c r="H709" s="2">
        <f>Table1[[#This Row],[İade Miktarı]]/Table1[[#This Row],[Satış Miktarı]]</f>
        <v>1.3820335636722606E-2</v>
      </c>
      <c r="I709" t="s">
        <v>18</v>
      </c>
      <c r="J709">
        <v>32</v>
      </c>
      <c r="K709">
        <f>Table1[[#This Row],[Satış Miktarı]]*Table1[[#This Row],[Satış Fiyatı]]</f>
        <v>32416</v>
      </c>
      <c r="L709" t="s">
        <v>19</v>
      </c>
      <c r="M709" t="s">
        <v>35</v>
      </c>
      <c r="N709" t="s">
        <v>61</v>
      </c>
      <c r="O709">
        <v>0.2</v>
      </c>
      <c r="P709" t="s">
        <v>22</v>
      </c>
      <c r="Q709" t="s">
        <v>53</v>
      </c>
    </row>
    <row r="710" spans="1:17">
      <c r="A710">
        <v>975762492</v>
      </c>
      <c r="B710" t="s">
        <v>59</v>
      </c>
      <c r="C710" t="s">
        <v>17</v>
      </c>
      <c r="D710" s="1">
        <v>47505</v>
      </c>
      <c r="E710">
        <v>2991</v>
      </c>
      <c r="F710">
        <v>43</v>
      </c>
      <c r="G710" s="2">
        <v>1.44E-2</v>
      </c>
      <c r="H710" s="2">
        <f>Table1[[#This Row],[İade Miktarı]]/Table1[[#This Row],[Satış Miktarı]]</f>
        <v>1.4376462721497826E-2</v>
      </c>
      <c r="I710" t="s">
        <v>18</v>
      </c>
      <c r="J710">
        <v>43</v>
      </c>
      <c r="K710">
        <f>Table1[[#This Row],[Satış Miktarı]]*Table1[[#This Row],[Satış Fiyatı]]</f>
        <v>128613</v>
      </c>
      <c r="L710" t="s">
        <v>19</v>
      </c>
      <c r="M710" t="s">
        <v>38</v>
      </c>
      <c r="N710" t="s">
        <v>76</v>
      </c>
      <c r="O710">
        <v>0.2</v>
      </c>
      <c r="P710" t="s">
        <v>27</v>
      </c>
      <c r="Q710" t="s">
        <v>72</v>
      </c>
    </row>
    <row r="711" spans="1:17">
      <c r="A711">
        <v>657702038</v>
      </c>
      <c r="B711" t="s">
        <v>63</v>
      </c>
      <c r="C711" t="s">
        <v>17</v>
      </c>
      <c r="D711" s="1">
        <v>48315</v>
      </c>
      <c r="E711">
        <v>3394</v>
      </c>
      <c r="F711">
        <v>42</v>
      </c>
      <c r="G711" s="2">
        <v>1.24E-2</v>
      </c>
      <c r="H711" s="2">
        <f>Table1[[#This Row],[İade Miktarı]]/Table1[[#This Row],[Satış Miktarı]]</f>
        <v>1.2374779021803181E-2</v>
      </c>
      <c r="I711" t="s">
        <v>18</v>
      </c>
      <c r="J711">
        <v>20</v>
      </c>
      <c r="K711">
        <f>Table1[[#This Row],[Satış Miktarı]]*Table1[[#This Row],[Satış Fiyatı]]</f>
        <v>67880</v>
      </c>
      <c r="L711" t="s">
        <v>19</v>
      </c>
      <c r="M711" t="s">
        <v>42</v>
      </c>
      <c r="N711" t="s">
        <v>26</v>
      </c>
      <c r="O711">
        <v>0.2</v>
      </c>
      <c r="P711" t="s">
        <v>22</v>
      </c>
      <c r="Q711" t="s">
        <v>84</v>
      </c>
    </row>
    <row r="712" spans="1:17">
      <c r="A712">
        <v>121144136</v>
      </c>
      <c r="B712" t="s">
        <v>29</v>
      </c>
      <c r="C712" t="s">
        <v>17</v>
      </c>
      <c r="D712" s="1">
        <v>48330</v>
      </c>
      <c r="E712">
        <v>1731</v>
      </c>
      <c r="F712">
        <v>15</v>
      </c>
      <c r="G712" s="2">
        <v>8.6999999999999994E-3</v>
      </c>
      <c r="H712" s="2">
        <f>Table1[[#This Row],[İade Miktarı]]/Table1[[#This Row],[Satış Miktarı]]</f>
        <v>8.6655112651646445E-3</v>
      </c>
      <c r="I712" t="s">
        <v>18</v>
      </c>
      <c r="J712">
        <v>25</v>
      </c>
      <c r="K712">
        <f>Table1[[#This Row],[Satış Miktarı]]*Table1[[#This Row],[Satış Fiyatı]]</f>
        <v>43275</v>
      </c>
      <c r="L712" t="s">
        <v>19</v>
      </c>
      <c r="M712" t="s">
        <v>46</v>
      </c>
      <c r="N712" t="s">
        <v>78</v>
      </c>
      <c r="O712">
        <v>0.2</v>
      </c>
      <c r="P712" t="s">
        <v>27</v>
      </c>
      <c r="Q712" t="s">
        <v>36</v>
      </c>
    </row>
    <row r="713" spans="1:17">
      <c r="A713">
        <v>73204327</v>
      </c>
      <c r="B713" t="s">
        <v>33</v>
      </c>
      <c r="C713" t="s">
        <v>34</v>
      </c>
      <c r="D713" s="1">
        <v>47776</v>
      </c>
      <c r="E713">
        <v>4609</v>
      </c>
      <c r="F713">
        <v>41</v>
      </c>
      <c r="G713" s="2">
        <v>8.8999999999999999E-3</v>
      </c>
      <c r="H713" s="2">
        <f>Table1[[#This Row],[İade Miktarı]]/Table1[[#This Row],[Satış Miktarı]]</f>
        <v>8.8956389672380128E-3</v>
      </c>
      <c r="I713" t="s">
        <v>18</v>
      </c>
      <c r="J713">
        <v>32</v>
      </c>
      <c r="K713">
        <f>Table1[[#This Row],[Satış Miktarı]]*Table1[[#This Row],[Satış Fiyatı]]</f>
        <v>147488</v>
      </c>
      <c r="L713" t="s">
        <v>19</v>
      </c>
      <c r="M713" t="s">
        <v>46</v>
      </c>
      <c r="N713" t="s">
        <v>50</v>
      </c>
      <c r="O713">
        <v>0.2</v>
      </c>
      <c r="P713" t="s">
        <v>22</v>
      </c>
      <c r="Q713" t="s">
        <v>23</v>
      </c>
    </row>
    <row r="714" spans="1:17">
      <c r="A714">
        <v>487415720</v>
      </c>
      <c r="B714" t="s">
        <v>37</v>
      </c>
      <c r="C714" t="s">
        <v>34</v>
      </c>
      <c r="D714" s="1">
        <v>47800</v>
      </c>
      <c r="E714">
        <v>2003</v>
      </c>
      <c r="F714">
        <v>36</v>
      </c>
      <c r="G714" s="2">
        <v>1.7999999999999999E-2</v>
      </c>
      <c r="H714" s="2">
        <f>Table1[[#This Row],[İade Miktarı]]/Table1[[#This Row],[Satış Miktarı]]</f>
        <v>1.797304043934099E-2</v>
      </c>
      <c r="I714" t="s">
        <v>18</v>
      </c>
      <c r="J714">
        <v>27</v>
      </c>
      <c r="K714">
        <f>Table1[[#This Row],[Satış Miktarı]]*Table1[[#This Row],[Satış Fiyatı]]</f>
        <v>54081</v>
      </c>
      <c r="L714" t="s">
        <v>19</v>
      </c>
      <c r="M714" t="s">
        <v>52</v>
      </c>
      <c r="N714" t="s">
        <v>65</v>
      </c>
      <c r="O714">
        <v>0.2</v>
      </c>
      <c r="P714" t="s">
        <v>22</v>
      </c>
      <c r="Q714" t="s">
        <v>75</v>
      </c>
    </row>
    <row r="715" spans="1:17">
      <c r="A715">
        <v>315784189</v>
      </c>
      <c r="B715" t="s">
        <v>41</v>
      </c>
      <c r="C715" t="s">
        <v>17</v>
      </c>
      <c r="D715" s="1">
        <v>48273</v>
      </c>
      <c r="E715">
        <v>4960</v>
      </c>
      <c r="F715">
        <v>20</v>
      </c>
      <c r="G715" s="2">
        <v>4.0000000000000001E-3</v>
      </c>
      <c r="H715" s="2">
        <f>Table1[[#This Row],[İade Miktarı]]/Table1[[#This Row],[Satış Miktarı]]</f>
        <v>4.0322580645161289E-3</v>
      </c>
      <c r="I715" t="s">
        <v>18</v>
      </c>
      <c r="J715">
        <v>34</v>
      </c>
      <c r="K715">
        <f>Table1[[#This Row],[Satış Miktarı]]*Table1[[#This Row],[Satış Fiyatı]]</f>
        <v>168640</v>
      </c>
      <c r="L715" t="s">
        <v>19</v>
      </c>
      <c r="M715" t="s">
        <v>55</v>
      </c>
      <c r="N715" t="s">
        <v>26</v>
      </c>
      <c r="O715">
        <v>0.2</v>
      </c>
      <c r="P715" t="s">
        <v>22</v>
      </c>
      <c r="Q715" t="s">
        <v>62</v>
      </c>
    </row>
    <row r="716" spans="1:17">
      <c r="A716">
        <v>703617139</v>
      </c>
      <c r="B716" t="s">
        <v>44</v>
      </c>
      <c r="C716" t="s">
        <v>17</v>
      </c>
      <c r="D716" s="1">
        <v>48069</v>
      </c>
      <c r="E716">
        <v>2986</v>
      </c>
      <c r="F716">
        <v>35</v>
      </c>
      <c r="G716" s="2">
        <v>1.17E-2</v>
      </c>
      <c r="H716" s="2">
        <f>Table1[[#This Row],[İade Miktarı]]/Table1[[#This Row],[Satış Miktarı]]</f>
        <v>1.172136637642331E-2</v>
      </c>
      <c r="I716" t="s">
        <v>18</v>
      </c>
      <c r="J716">
        <v>38</v>
      </c>
      <c r="K716">
        <f>Table1[[#This Row],[Satış Miktarı]]*Table1[[#This Row],[Satış Fiyatı]]</f>
        <v>113468</v>
      </c>
      <c r="L716" t="s">
        <v>19</v>
      </c>
      <c r="M716" t="s">
        <v>58</v>
      </c>
      <c r="N716" t="s">
        <v>47</v>
      </c>
      <c r="O716">
        <v>0.2</v>
      </c>
      <c r="P716" t="s">
        <v>22</v>
      </c>
      <c r="Q716" t="s">
        <v>69</v>
      </c>
    </row>
    <row r="717" spans="1:17">
      <c r="A717">
        <v>108391371</v>
      </c>
      <c r="B717" t="s">
        <v>49</v>
      </c>
      <c r="C717" t="s">
        <v>34</v>
      </c>
      <c r="D717" s="1">
        <v>48038</v>
      </c>
      <c r="E717">
        <v>4394</v>
      </c>
      <c r="F717">
        <v>22</v>
      </c>
      <c r="G717" s="2">
        <v>5.0000000000000001E-3</v>
      </c>
      <c r="H717" s="2">
        <f>Table1[[#This Row],[İade Miktarı]]/Table1[[#This Row],[Satış Miktarı]]</f>
        <v>5.0068274920345929E-3</v>
      </c>
      <c r="I717" t="s">
        <v>18</v>
      </c>
      <c r="J717">
        <v>21</v>
      </c>
      <c r="K717">
        <f>Table1[[#This Row],[Satış Miktarı]]*Table1[[#This Row],[Satış Fiyatı]]</f>
        <v>92274</v>
      </c>
      <c r="L717" t="s">
        <v>19</v>
      </c>
      <c r="M717" t="s">
        <v>60</v>
      </c>
      <c r="N717" t="s">
        <v>21</v>
      </c>
      <c r="O717">
        <v>0.2</v>
      </c>
      <c r="P717" t="s">
        <v>27</v>
      </c>
      <c r="Q717" t="s">
        <v>48</v>
      </c>
    </row>
    <row r="718" spans="1:17">
      <c r="A718">
        <v>859985564</v>
      </c>
      <c r="B718" t="s">
        <v>51</v>
      </c>
      <c r="C718" t="s">
        <v>17</v>
      </c>
      <c r="D718" s="1">
        <v>47703</v>
      </c>
      <c r="E718">
        <v>2809</v>
      </c>
      <c r="F718">
        <v>50</v>
      </c>
      <c r="G718" s="2">
        <v>1.78E-2</v>
      </c>
      <c r="H718" s="2">
        <f>Table1[[#This Row],[İade Miktarı]]/Table1[[#This Row],[Satış Miktarı]]</f>
        <v>1.77999288002848E-2</v>
      </c>
      <c r="I718" t="s">
        <v>81</v>
      </c>
      <c r="J718">
        <v>34</v>
      </c>
      <c r="K718">
        <f>Table1[[#This Row],[Satış Miktarı]]*Table1[[#This Row],[Satış Fiyatı]]</f>
        <v>95506</v>
      </c>
      <c r="L718" t="s">
        <v>19</v>
      </c>
      <c r="M718" t="s">
        <v>64</v>
      </c>
      <c r="N718" t="s">
        <v>21</v>
      </c>
      <c r="O718">
        <v>0.2</v>
      </c>
      <c r="P718" t="s">
        <v>27</v>
      </c>
      <c r="Q718" t="s">
        <v>53</v>
      </c>
    </row>
    <row r="719" spans="1:17">
      <c r="A719">
        <v>540135643</v>
      </c>
      <c r="B719" t="s">
        <v>54</v>
      </c>
      <c r="C719" t="s">
        <v>34</v>
      </c>
      <c r="D719" s="1">
        <v>47694</v>
      </c>
      <c r="E719">
        <v>3776</v>
      </c>
      <c r="F719">
        <v>29</v>
      </c>
      <c r="G719" s="2">
        <v>7.7000000000000002E-3</v>
      </c>
      <c r="H719" s="2">
        <f>Table1[[#This Row],[İade Miktarı]]/Table1[[#This Row],[Satış Miktarı]]</f>
        <v>7.6800847457627122E-3</v>
      </c>
      <c r="I719" t="s">
        <v>45</v>
      </c>
      <c r="J719">
        <v>26</v>
      </c>
      <c r="K719">
        <f>Table1[[#This Row],[Satış Miktarı]]*Table1[[#This Row],[Satış Fiyatı]]</f>
        <v>98176</v>
      </c>
      <c r="L719" t="s">
        <v>19</v>
      </c>
      <c r="M719" t="s">
        <v>68</v>
      </c>
      <c r="N719" t="s">
        <v>61</v>
      </c>
      <c r="O719">
        <v>0.2</v>
      </c>
      <c r="P719" t="s">
        <v>27</v>
      </c>
      <c r="Q719" t="s">
        <v>36</v>
      </c>
    </row>
    <row r="720" spans="1:17">
      <c r="A720">
        <v>495276420</v>
      </c>
      <c r="B720" t="s">
        <v>57</v>
      </c>
      <c r="C720" t="s">
        <v>34</v>
      </c>
      <c r="D720" s="1">
        <v>48577</v>
      </c>
      <c r="E720">
        <v>1450</v>
      </c>
      <c r="F720">
        <v>29</v>
      </c>
      <c r="G720" s="2">
        <v>0.02</v>
      </c>
      <c r="H720" s="2">
        <f>Table1[[#This Row],[İade Miktarı]]/Table1[[#This Row],[Satış Miktarı]]</f>
        <v>0.02</v>
      </c>
      <c r="I720" t="s">
        <v>18</v>
      </c>
      <c r="J720">
        <v>21</v>
      </c>
      <c r="K720">
        <f>Table1[[#This Row],[Satış Miktarı]]*Table1[[#This Row],[Satış Fiyatı]]</f>
        <v>30450</v>
      </c>
      <c r="L720" t="s">
        <v>19</v>
      </c>
      <c r="M720" t="s">
        <v>71</v>
      </c>
      <c r="N720" t="s">
        <v>31</v>
      </c>
      <c r="O720">
        <v>0.2</v>
      </c>
      <c r="P720" t="s">
        <v>27</v>
      </c>
      <c r="Q720" t="s">
        <v>53</v>
      </c>
    </row>
    <row r="721" spans="1:17">
      <c r="A721">
        <v>205520626</v>
      </c>
      <c r="B721" t="s">
        <v>59</v>
      </c>
      <c r="C721" t="s">
        <v>17</v>
      </c>
      <c r="D721" s="1">
        <v>48476</v>
      </c>
      <c r="E721">
        <v>1415</v>
      </c>
      <c r="F721">
        <v>18</v>
      </c>
      <c r="G721" s="2">
        <v>1.2699999999999999E-2</v>
      </c>
      <c r="H721" s="2">
        <f>Table1[[#This Row],[İade Miktarı]]/Table1[[#This Row],[Satış Miktarı]]</f>
        <v>1.2720848056537103E-2</v>
      </c>
      <c r="I721" t="s">
        <v>18</v>
      </c>
      <c r="J721">
        <v>47</v>
      </c>
      <c r="K721">
        <f>Table1[[#This Row],[Satış Miktarı]]*Table1[[#This Row],[Satış Fiyatı]]</f>
        <v>66505</v>
      </c>
      <c r="L721" t="s">
        <v>19</v>
      </c>
      <c r="M721" t="s">
        <v>74</v>
      </c>
      <c r="N721" t="s">
        <v>76</v>
      </c>
      <c r="O721">
        <v>0.2</v>
      </c>
      <c r="P721" t="s">
        <v>27</v>
      </c>
      <c r="Q721" t="s">
        <v>40</v>
      </c>
    </row>
    <row r="722" spans="1:17">
      <c r="A722">
        <v>22449537</v>
      </c>
      <c r="B722" t="s">
        <v>63</v>
      </c>
      <c r="C722" t="s">
        <v>17</v>
      </c>
      <c r="D722" s="1">
        <v>48000</v>
      </c>
      <c r="E722">
        <v>1094</v>
      </c>
      <c r="F722">
        <v>10</v>
      </c>
      <c r="G722" s="2">
        <v>9.1000000000000004E-3</v>
      </c>
      <c r="H722" s="2">
        <f>Table1[[#This Row],[İade Miktarı]]/Table1[[#This Row],[Satış Miktarı]]</f>
        <v>9.140767824497258E-3</v>
      </c>
      <c r="I722" t="s">
        <v>18</v>
      </c>
      <c r="J722">
        <v>46</v>
      </c>
      <c r="K722">
        <f>Table1[[#This Row],[Satış Miktarı]]*Table1[[#This Row],[Satış Fiyatı]]</f>
        <v>50324</v>
      </c>
      <c r="L722" t="s">
        <v>19</v>
      </c>
      <c r="M722" t="s">
        <v>20</v>
      </c>
      <c r="N722" t="s">
        <v>26</v>
      </c>
      <c r="O722">
        <v>0.2</v>
      </c>
      <c r="P722" t="s">
        <v>22</v>
      </c>
      <c r="Q722" t="s">
        <v>53</v>
      </c>
    </row>
    <row r="723" spans="1:17">
      <c r="A723">
        <v>265287876</v>
      </c>
      <c r="B723" t="s">
        <v>67</v>
      </c>
      <c r="C723" t="s">
        <v>17</v>
      </c>
      <c r="D723" s="1">
        <v>47870</v>
      </c>
      <c r="E723">
        <v>4731</v>
      </c>
      <c r="F723">
        <v>15</v>
      </c>
      <c r="G723" s="2">
        <v>3.2000000000000002E-3</v>
      </c>
      <c r="H723" s="2">
        <f>Table1[[#This Row],[İade Miktarı]]/Table1[[#This Row],[Satış Miktarı]]</f>
        <v>3.1705770450221942E-3</v>
      </c>
      <c r="I723" t="s">
        <v>18</v>
      </c>
      <c r="J723">
        <v>36</v>
      </c>
      <c r="K723">
        <f>Table1[[#This Row],[Satış Miktarı]]*Table1[[#This Row],[Satış Fiyatı]]</f>
        <v>170316</v>
      </c>
      <c r="L723" t="s">
        <v>19</v>
      </c>
      <c r="M723" t="s">
        <v>25</v>
      </c>
      <c r="N723" t="s">
        <v>39</v>
      </c>
      <c r="O723">
        <v>0.2</v>
      </c>
      <c r="P723" t="s">
        <v>22</v>
      </c>
      <c r="Q723" t="s">
        <v>66</v>
      </c>
    </row>
    <row r="724" spans="1:17">
      <c r="A724">
        <v>8077950</v>
      </c>
      <c r="B724" t="s">
        <v>70</v>
      </c>
      <c r="C724" t="s">
        <v>17</v>
      </c>
      <c r="D724" s="1">
        <v>48187</v>
      </c>
      <c r="E724">
        <v>2308</v>
      </c>
      <c r="F724">
        <v>11</v>
      </c>
      <c r="G724" s="2">
        <v>4.7999999999999996E-3</v>
      </c>
      <c r="H724" s="2">
        <f>Table1[[#This Row],[İade Miktarı]]/Table1[[#This Row],[Satış Miktarı]]</f>
        <v>4.7660311958405543E-3</v>
      </c>
      <c r="I724" t="s">
        <v>45</v>
      </c>
      <c r="J724">
        <v>33</v>
      </c>
      <c r="K724">
        <f>Table1[[#This Row],[Satış Miktarı]]*Table1[[#This Row],[Satış Fiyatı]]</f>
        <v>76164</v>
      </c>
      <c r="L724" t="s">
        <v>19</v>
      </c>
      <c r="M724" t="s">
        <v>30</v>
      </c>
      <c r="N724" t="s">
        <v>39</v>
      </c>
      <c r="O724">
        <v>0.2</v>
      </c>
      <c r="P724" t="s">
        <v>27</v>
      </c>
      <c r="Q724" t="s">
        <v>23</v>
      </c>
    </row>
    <row r="725" spans="1:17">
      <c r="A725">
        <v>813075695</v>
      </c>
      <c r="B725" t="s">
        <v>73</v>
      </c>
      <c r="C725" t="s">
        <v>17</v>
      </c>
      <c r="D725" s="1">
        <v>47681</v>
      </c>
      <c r="E725">
        <v>3917</v>
      </c>
      <c r="F725">
        <v>50</v>
      </c>
      <c r="G725" s="2">
        <v>1.2800000000000001E-2</v>
      </c>
      <c r="H725" s="2">
        <f>Table1[[#This Row],[İade Miktarı]]/Table1[[#This Row],[Satış Miktarı]]</f>
        <v>1.2764871074802144E-2</v>
      </c>
      <c r="I725" t="s">
        <v>18</v>
      </c>
      <c r="J725">
        <v>25</v>
      </c>
      <c r="K725">
        <f>Table1[[#This Row],[Satış Miktarı]]*Table1[[#This Row],[Satış Fiyatı]]</f>
        <v>97925</v>
      </c>
      <c r="L725" t="s">
        <v>19</v>
      </c>
      <c r="M725" t="s">
        <v>35</v>
      </c>
      <c r="N725" t="s">
        <v>31</v>
      </c>
      <c r="O725">
        <v>0.2</v>
      </c>
      <c r="P725" t="s">
        <v>22</v>
      </c>
      <c r="Q725" t="s">
        <v>79</v>
      </c>
    </row>
    <row r="726" spans="1:17">
      <c r="A726">
        <v>435238931</v>
      </c>
      <c r="B726" t="s">
        <v>16</v>
      </c>
      <c r="C726" t="s">
        <v>17</v>
      </c>
      <c r="D726" s="1">
        <v>48509</v>
      </c>
      <c r="E726">
        <v>2975</v>
      </c>
      <c r="F726">
        <v>33</v>
      </c>
      <c r="G726" s="2">
        <v>1.11E-2</v>
      </c>
      <c r="H726" s="2">
        <f>Table1[[#This Row],[İade Miktarı]]/Table1[[#This Row],[Satış Miktarı]]</f>
        <v>1.1092436974789916E-2</v>
      </c>
      <c r="I726" t="s">
        <v>18</v>
      </c>
      <c r="J726">
        <v>40</v>
      </c>
      <c r="K726">
        <f>Table1[[#This Row],[Satış Miktarı]]*Table1[[#This Row],[Satış Fiyatı]]</f>
        <v>119000</v>
      </c>
      <c r="L726" t="s">
        <v>19</v>
      </c>
      <c r="M726" t="s">
        <v>38</v>
      </c>
      <c r="N726" t="s">
        <v>78</v>
      </c>
      <c r="O726">
        <v>0.2</v>
      </c>
      <c r="P726" t="s">
        <v>27</v>
      </c>
      <c r="Q726" t="s">
        <v>69</v>
      </c>
    </row>
    <row r="727" spans="1:17">
      <c r="A727">
        <v>330502982</v>
      </c>
      <c r="B727" t="s">
        <v>24</v>
      </c>
      <c r="C727" t="s">
        <v>17</v>
      </c>
      <c r="D727" s="1">
        <v>48175</v>
      </c>
      <c r="E727">
        <v>1558</v>
      </c>
      <c r="F727">
        <v>37</v>
      </c>
      <c r="G727" s="2">
        <v>2.3699999999999999E-2</v>
      </c>
      <c r="H727" s="2">
        <f>Table1[[#This Row],[İade Miktarı]]/Table1[[#This Row],[Satış Miktarı]]</f>
        <v>2.3748395378690629E-2</v>
      </c>
      <c r="I727" t="s">
        <v>18</v>
      </c>
      <c r="J727">
        <v>25</v>
      </c>
      <c r="K727">
        <f>Table1[[#This Row],[Satış Miktarı]]*Table1[[#This Row],[Satış Fiyatı]]</f>
        <v>38950</v>
      </c>
      <c r="L727" t="s">
        <v>19</v>
      </c>
      <c r="M727" t="s">
        <v>42</v>
      </c>
      <c r="N727" t="s">
        <v>61</v>
      </c>
      <c r="O727">
        <v>0.2</v>
      </c>
      <c r="P727" t="s">
        <v>22</v>
      </c>
      <c r="Q727" t="s">
        <v>66</v>
      </c>
    </row>
    <row r="728" spans="1:17">
      <c r="A728">
        <v>307275833</v>
      </c>
      <c r="B728" t="s">
        <v>29</v>
      </c>
      <c r="C728" t="s">
        <v>17</v>
      </c>
      <c r="D728" s="1">
        <v>48448</v>
      </c>
      <c r="E728">
        <v>4773</v>
      </c>
      <c r="F728">
        <v>22</v>
      </c>
      <c r="G728" s="2">
        <v>4.5999999999999999E-3</v>
      </c>
      <c r="H728" s="2">
        <f>Table1[[#This Row],[İade Miktarı]]/Table1[[#This Row],[Satış Miktarı]]</f>
        <v>4.6092604232139114E-3</v>
      </c>
      <c r="I728" t="s">
        <v>18</v>
      </c>
      <c r="J728">
        <v>46</v>
      </c>
      <c r="K728">
        <f>Table1[[#This Row],[Satış Miktarı]]*Table1[[#This Row],[Satış Fiyatı]]</f>
        <v>219558</v>
      </c>
      <c r="L728" t="s">
        <v>19</v>
      </c>
      <c r="M728" t="s">
        <v>46</v>
      </c>
      <c r="N728" t="s">
        <v>43</v>
      </c>
      <c r="O728">
        <v>0.2</v>
      </c>
      <c r="P728" t="s">
        <v>27</v>
      </c>
      <c r="Q728" t="s">
        <v>53</v>
      </c>
    </row>
    <row r="729" spans="1:17">
      <c r="A729">
        <v>252770482</v>
      </c>
      <c r="B729" t="s">
        <v>33</v>
      </c>
      <c r="C729" t="s">
        <v>34</v>
      </c>
      <c r="D729" s="1">
        <v>47660</v>
      </c>
      <c r="E729">
        <v>1678</v>
      </c>
      <c r="F729">
        <v>38</v>
      </c>
      <c r="G729" s="2">
        <v>2.2599999999999999E-2</v>
      </c>
      <c r="H729" s="2">
        <f>Table1[[#This Row],[İade Miktarı]]/Table1[[#This Row],[Satış Miktarı]]</f>
        <v>2.2646007151370679E-2</v>
      </c>
      <c r="I729" t="s">
        <v>18</v>
      </c>
      <c r="J729">
        <v>26</v>
      </c>
      <c r="K729">
        <f>Table1[[#This Row],[Satış Miktarı]]*Table1[[#This Row],[Satış Fiyatı]]</f>
        <v>43628</v>
      </c>
      <c r="L729" t="s">
        <v>19</v>
      </c>
      <c r="M729" t="s">
        <v>46</v>
      </c>
      <c r="N729" t="s">
        <v>50</v>
      </c>
      <c r="O729">
        <v>0.2</v>
      </c>
      <c r="P729" t="s">
        <v>22</v>
      </c>
      <c r="Q729" t="s">
        <v>53</v>
      </c>
    </row>
    <row r="730" spans="1:17">
      <c r="A730">
        <v>747786970</v>
      </c>
      <c r="B730" t="s">
        <v>37</v>
      </c>
      <c r="C730" t="s">
        <v>34</v>
      </c>
      <c r="D730" s="1">
        <v>47636</v>
      </c>
      <c r="E730">
        <v>2902</v>
      </c>
      <c r="F730">
        <v>39</v>
      </c>
      <c r="G730" s="2">
        <v>1.34E-2</v>
      </c>
      <c r="H730" s="2">
        <f>Table1[[#This Row],[İade Miktarı]]/Table1[[#This Row],[Satış Miktarı]]</f>
        <v>1.3439007580978636E-2</v>
      </c>
      <c r="I730" t="s">
        <v>18</v>
      </c>
      <c r="J730">
        <v>39</v>
      </c>
      <c r="K730">
        <f>Table1[[#This Row],[Satış Miktarı]]*Table1[[#This Row],[Satış Fiyatı]]</f>
        <v>113178</v>
      </c>
      <c r="L730" t="s">
        <v>19</v>
      </c>
      <c r="M730" t="s">
        <v>52</v>
      </c>
      <c r="N730" t="s">
        <v>43</v>
      </c>
      <c r="O730">
        <v>0.2</v>
      </c>
      <c r="P730" t="s">
        <v>22</v>
      </c>
      <c r="Q730" t="s">
        <v>75</v>
      </c>
    </row>
    <row r="731" spans="1:17">
      <c r="A731">
        <v>681895983</v>
      </c>
      <c r="B731" t="s">
        <v>41</v>
      </c>
      <c r="C731" t="s">
        <v>17</v>
      </c>
      <c r="D731" s="1">
        <v>48398</v>
      </c>
      <c r="E731">
        <v>2283</v>
      </c>
      <c r="F731">
        <v>28</v>
      </c>
      <c r="G731" s="2">
        <v>1.23E-2</v>
      </c>
      <c r="H731" s="2">
        <f>Table1[[#This Row],[İade Miktarı]]/Table1[[#This Row],[Satış Miktarı]]</f>
        <v>1.2264564169951819E-2</v>
      </c>
      <c r="I731" t="s">
        <v>18</v>
      </c>
      <c r="J731">
        <v>21</v>
      </c>
      <c r="K731">
        <f>Table1[[#This Row],[Satış Miktarı]]*Table1[[#This Row],[Satış Fiyatı]]</f>
        <v>47943</v>
      </c>
      <c r="L731" t="s">
        <v>19</v>
      </c>
      <c r="M731" t="s">
        <v>55</v>
      </c>
      <c r="N731" t="s">
        <v>43</v>
      </c>
      <c r="O731">
        <v>0.2</v>
      </c>
      <c r="P731" t="s">
        <v>22</v>
      </c>
      <c r="Q731" t="s">
        <v>72</v>
      </c>
    </row>
    <row r="732" spans="1:17">
      <c r="A732">
        <v>985924204</v>
      </c>
      <c r="B732" t="s">
        <v>44</v>
      </c>
      <c r="C732" t="s">
        <v>17</v>
      </c>
      <c r="D732" s="1">
        <v>47717</v>
      </c>
      <c r="E732">
        <v>1893</v>
      </c>
      <c r="F732">
        <v>43</v>
      </c>
      <c r="G732" s="2">
        <v>2.2700000000000001E-2</v>
      </c>
      <c r="H732" s="2">
        <f>Table1[[#This Row],[İade Miktarı]]/Table1[[#This Row],[Satış Miktarı]]</f>
        <v>2.2715266772319071E-2</v>
      </c>
      <c r="I732" t="s">
        <v>18</v>
      </c>
      <c r="J732">
        <v>35</v>
      </c>
      <c r="K732">
        <f>Table1[[#This Row],[Satış Miktarı]]*Table1[[#This Row],[Satış Fiyatı]]</f>
        <v>66255</v>
      </c>
      <c r="L732" t="s">
        <v>19</v>
      </c>
      <c r="M732" t="s">
        <v>58</v>
      </c>
      <c r="N732" t="s">
        <v>21</v>
      </c>
      <c r="O732">
        <v>0.2</v>
      </c>
      <c r="P732" t="s">
        <v>27</v>
      </c>
      <c r="Q732" t="s">
        <v>80</v>
      </c>
    </row>
    <row r="733" spans="1:17">
      <c r="A733">
        <v>142855347</v>
      </c>
      <c r="B733" t="s">
        <v>49</v>
      </c>
      <c r="C733" t="s">
        <v>34</v>
      </c>
      <c r="D733" s="1">
        <v>47753</v>
      </c>
      <c r="E733">
        <v>3254</v>
      </c>
      <c r="F733">
        <v>29</v>
      </c>
      <c r="G733" s="2">
        <v>8.8999999999999999E-3</v>
      </c>
      <c r="H733" s="2">
        <f>Table1[[#This Row],[İade Miktarı]]/Table1[[#This Row],[Satış Miktarı]]</f>
        <v>8.9121081745543954E-3</v>
      </c>
      <c r="I733" t="s">
        <v>18</v>
      </c>
      <c r="J733">
        <v>20</v>
      </c>
      <c r="K733">
        <f>Table1[[#This Row],[Satış Miktarı]]*Table1[[#This Row],[Satış Fiyatı]]</f>
        <v>65080</v>
      </c>
      <c r="L733" t="s">
        <v>19</v>
      </c>
      <c r="M733" t="s">
        <v>60</v>
      </c>
      <c r="N733" t="s">
        <v>76</v>
      </c>
      <c r="O733">
        <v>0.2</v>
      </c>
      <c r="P733" t="s">
        <v>22</v>
      </c>
      <c r="Q733" t="s">
        <v>82</v>
      </c>
    </row>
    <row r="734" spans="1:17">
      <c r="A734">
        <v>440120767</v>
      </c>
      <c r="B734" t="s">
        <v>51</v>
      </c>
      <c r="C734" t="s">
        <v>17</v>
      </c>
      <c r="D734" s="1">
        <v>48332</v>
      </c>
      <c r="E734">
        <v>3987</v>
      </c>
      <c r="F734">
        <v>49</v>
      </c>
      <c r="G734" s="2">
        <v>1.23E-2</v>
      </c>
      <c r="H734" s="2">
        <f>Table1[[#This Row],[İade Miktarı]]/Table1[[#This Row],[Satış Miktarı]]</f>
        <v>1.2289942312515676E-2</v>
      </c>
      <c r="I734" t="s">
        <v>18</v>
      </c>
      <c r="J734">
        <v>42</v>
      </c>
      <c r="K734">
        <f>Table1[[#This Row],[Satış Miktarı]]*Table1[[#This Row],[Satış Fiyatı]]</f>
        <v>167454</v>
      </c>
      <c r="L734" t="s">
        <v>19</v>
      </c>
      <c r="M734" t="s">
        <v>64</v>
      </c>
      <c r="N734" t="s">
        <v>31</v>
      </c>
      <c r="O734">
        <v>0.2</v>
      </c>
      <c r="P734" t="s">
        <v>27</v>
      </c>
      <c r="Q734" t="s">
        <v>69</v>
      </c>
    </row>
    <row r="735" spans="1:17">
      <c r="A735">
        <v>453397019</v>
      </c>
      <c r="B735" t="s">
        <v>54</v>
      </c>
      <c r="C735" t="s">
        <v>34</v>
      </c>
      <c r="D735" s="1">
        <v>48318</v>
      </c>
      <c r="E735">
        <v>1756</v>
      </c>
      <c r="F735">
        <v>40</v>
      </c>
      <c r="G735" s="2">
        <v>2.2800000000000001E-2</v>
      </c>
      <c r="H735" s="2">
        <f>Table1[[#This Row],[İade Miktarı]]/Table1[[#This Row],[Satış Miktarı]]</f>
        <v>2.2779043280182234E-2</v>
      </c>
      <c r="I735" t="s">
        <v>18</v>
      </c>
      <c r="J735">
        <v>31</v>
      </c>
      <c r="K735">
        <f>Table1[[#This Row],[Satış Miktarı]]*Table1[[#This Row],[Satış Fiyatı]]</f>
        <v>54436</v>
      </c>
      <c r="L735" t="s">
        <v>19</v>
      </c>
      <c r="M735" t="s">
        <v>68</v>
      </c>
      <c r="N735" t="s">
        <v>50</v>
      </c>
      <c r="O735">
        <v>0.2</v>
      </c>
      <c r="P735" t="s">
        <v>27</v>
      </c>
      <c r="Q735" t="s">
        <v>32</v>
      </c>
    </row>
    <row r="736" spans="1:17">
      <c r="A736">
        <v>721591040</v>
      </c>
      <c r="B736" t="s">
        <v>57</v>
      </c>
      <c r="C736" t="s">
        <v>34</v>
      </c>
      <c r="D736" s="1">
        <v>47912</v>
      </c>
      <c r="E736">
        <v>1494</v>
      </c>
      <c r="F736">
        <v>13</v>
      </c>
      <c r="G736" s="2">
        <v>8.6999999999999994E-3</v>
      </c>
      <c r="H736" s="2">
        <f>Table1[[#This Row],[İade Miktarı]]/Table1[[#This Row],[Satış Miktarı]]</f>
        <v>8.7014725568942443E-3</v>
      </c>
      <c r="I736" t="s">
        <v>18</v>
      </c>
      <c r="J736">
        <v>38</v>
      </c>
      <c r="K736">
        <f>Table1[[#This Row],[Satış Miktarı]]*Table1[[#This Row],[Satış Fiyatı]]</f>
        <v>56772</v>
      </c>
      <c r="L736" t="s">
        <v>19</v>
      </c>
      <c r="M736" t="s">
        <v>71</v>
      </c>
      <c r="N736" t="s">
        <v>21</v>
      </c>
      <c r="O736">
        <v>0.2</v>
      </c>
      <c r="P736" t="s">
        <v>27</v>
      </c>
      <c r="Q736" t="s">
        <v>32</v>
      </c>
    </row>
    <row r="737" spans="1:17">
      <c r="A737">
        <v>8029368</v>
      </c>
      <c r="B737" t="s">
        <v>59</v>
      </c>
      <c r="C737" t="s">
        <v>17</v>
      </c>
      <c r="D737" s="1">
        <v>47919</v>
      </c>
      <c r="E737">
        <v>3315</v>
      </c>
      <c r="F737">
        <v>17</v>
      </c>
      <c r="G737" s="2">
        <v>5.1000000000000004E-3</v>
      </c>
      <c r="H737" s="2">
        <f>Table1[[#This Row],[İade Miktarı]]/Table1[[#This Row],[Satış Miktarı]]</f>
        <v>5.1282051282051282E-3</v>
      </c>
      <c r="I737" t="s">
        <v>18</v>
      </c>
      <c r="J737">
        <v>43</v>
      </c>
      <c r="K737">
        <f>Table1[[#This Row],[Satış Miktarı]]*Table1[[#This Row],[Satış Fiyatı]]</f>
        <v>142545</v>
      </c>
      <c r="L737" t="s">
        <v>19</v>
      </c>
      <c r="M737" t="s">
        <v>74</v>
      </c>
      <c r="N737" t="s">
        <v>31</v>
      </c>
      <c r="O737">
        <v>0.2</v>
      </c>
      <c r="P737" t="s">
        <v>27</v>
      </c>
      <c r="Q737" t="s">
        <v>80</v>
      </c>
    </row>
    <row r="738" spans="1:17">
      <c r="A738">
        <v>415199036</v>
      </c>
      <c r="B738" t="s">
        <v>63</v>
      </c>
      <c r="C738" t="s">
        <v>17</v>
      </c>
      <c r="D738" s="1">
        <v>48157</v>
      </c>
      <c r="E738">
        <v>4428</v>
      </c>
      <c r="F738">
        <v>18</v>
      </c>
      <c r="G738" s="2">
        <v>4.1000000000000003E-3</v>
      </c>
      <c r="H738" s="2">
        <f>Table1[[#This Row],[İade Miktarı]]/Table1[[#This Row],[Satış Miktarı]]</f>
        <v>4.0650406504065045E-3</v>
      </c>
      <c r="I738" t="s">
        <v>18</v>
      </c>
      <c r="J738">
        <v>34</v>
      </c>
      <c r="K738">
        <f>Table1[[#This Row],[Satış Miktarı]]*Table1[[#This Row],[Satış Fiyatı]]</f>
        <v>150552</v>
      </c>
      <c r="L738" t="s">
        <v>19</v>
      </c>
      <c r="M738" t="s">
        <v>20</v>
      </c>
      <c r="N738" t="s">
        <v>47</v>
      </c>
      <c r="O738">
        <v>0.2</v>
      </c>
      <c r="P738" t="s">
        <v>27</v>
      </c>
      <c r="Q738" t="s">
        <v>53</v>
      </c>
    </row>
    <row r="739" spans="1:17">
      <c r="A739">
        <v>861028919</v>
      </c>
      <c r="B739" t="s">
        <v>67</v>
      </c>
      <c r="C739" t="s">
        <v>17</v>
      </c>
      <c r="D739" s="1">
        <v>47689</v>
      </c>
      <c r="E739">
        <v>1931</v>
      </c>
      <c r="F739">
        <v>35</v>
      </c>
      <c r="G739" s="2">
        <v>1.8100000000000002E-2</v>
      </c>
      <c r="H739" s="2">
        <f>Table1[[#This Row],[İade Miktarı]]/Table1[[#This Row],[Satış Miktarı]]</f>
        <v>1.8125323666494046E-2</v>
      </c>
      <c r="I739" t="s">
        <v>18</v>
      </c>
      <c r="J739">
        <v>41</v>
      </c>
      <c r="K739">
        <f>Table1[[#This Row],[Satış Miktarı]]*Table1[[#This Row],[Satış Fiyatı]]</f>
        <v>79171</v>
      </c>
      <c r="L739" t="s">
        <v>19</v>
      </c>
      <c r="M739" t="s">
        <v>25</v>
      </c>
      <c r="N739" t="s">
        <v>78</v>
      </c>
      <c r="O739">
        <v>0.2</v>
      </c>
      <c r="P739" t="s">
        <v>22</v>
      </c>
      <c r="Q739" t="s">
        <v>75</v>
      </c>
    </row>
    <row r="740" spans="1:17">
      <c r="A740">
        <v>656412454</v>
      </c>
      <c r="B740" t="s">
        <v>70</v>
      </c>
      <c r="C740" t="s">
        <v>17</v>
      </c>
      <c r="D740" s="1">
        <v>47664</v>
      </c>
      <c r="E740">
        <v>4010</v>
      </c>
      <c r="F740">
        <v>29</v>
      </c>
      <c r="G740" s="2">
        <v>7.1999999999999998E-3</v>
      </c>
      <c r="H740" s="2">
        <f>Table1[[#This Row],[İade Miktarı]]/Table1[[#This Row],[Satış Miktarı]]</f>
        <v>7.2319201995012473E-3</v>
      </c>
      <c r="I740" t="s">
        <v>18</v>
      </c>
      <c r="J740">
        <v>20</v>
      </c>
      <c r="K740">
        <f>Table1[[#This Row],[Satış Miktarı]]*Table1[[#This Row],[Satış Fiyatı]]</f>
        <v>80200</v>
      </c>
      <c r="L740" t="s">
        <v>19</v>
      </c>
      <c r="M740" t="s">
        <v>30</v>
      </c>
      <c r="N740" t="s">
        <v>39</v>
      </c>
      <c r="O740">
        <v>0.2</v>
      </c>
      <c r="P740" t="s">
        <v>22</v>
      </c>
      <c r="Q740" t="s">
        <v>80</v>
      </c>
    </row>
    <row r="741" spans="1:17">
      <c r="A741">
        <v>330389407</v>
      </c>
      <c r="B741" t="s">
        <v>73</v>
      </c>
      <c r="C741" t="s">
        <v>17</v>
      </c>
      <c r="D741" s="1">
        <v>47853</v>
      </c>
      <c r="E741">
        <v>2207</v>
      </c>
      <c r="F741">
        <v>50</v>
      </c>
      <c r="G741" s="2">
        <v>2.2700000000000001E-2</v>
      </c>
      <c r="H741" s="2">
        <f>Table1[[#This Row],[İade Miktarı]]/Table1[[#This Row],[Satış Miktarı]]</f>
        <v>2.2655188038060717E-2</v>
      </c>
      <c r="I741" t="s">
        <v>18</v>
      </c>
      <c r="J741">
        <v>25</v>
      </c>
      <c r="K741">
        <f>Table1[[#This Row],[Satış Miktarı]]*Table1[[#This Row],[Satış Fiyatı]]</f>
        <v>55175</v>
      </c>
      <c r="L741" t="s">
        <v>19</v>
      </c>
      <c r="M741" t="s">
        <v>35</v>
      </c>
      <c r="N741" t="s">
        <v>26</v>
      </c>
      <c r="O741">
        <v>0.2</v>
      </c>
      <c r="P741" t="s">
        <v>22</v>
      </c>
      <c r="Q741" t="s">
        <v>77</v>
      </c>
    </row>
    <row r="742" spans="1:17">
      <c r="A742">
        <v>564710434</v>
      </c>
      <c r="B742" t="s">
        <v>16</v>
      </c>
      <c r="C742" t="s">
        <v>17</v>
      </c>
      <c r="D742" s="1">
        <v>47576</v>
      </c>
      <c r="E742">
        <v>2982</v>
      </c>
      <c r="F742">
        <v>47</v>
      </c>
      <c r="G742" s="2">
        <v>1.5800000000000002E-2</v>
      </c>
      <c r="H742" s="2">
        <f>Table1[[#This Row],[İade Miktarı]]/Table1[[#This Row],[Satış Miktarı]]</f>
        <v>1.5761234071093227E-2</v>
      </c>
      <c r="I742" t="s">
        <v>18</v>
      </c>
      <c r="J742">
        <v>28</v>
      </c>
      <c r="K742">
        <f>Table1[[#This Row],[Satış Miktarı]]*Table1[[#This Row],[Satış Fiyatı]]</f>
        <v>83496</v>
      </c>
      <c r="L742" t="s">
        <v>19</v>
      </c>
      <c r="M742" t="s">
        <v>38</v>
      </c>
      <c r="N742" t="s">
        <v>47</v>
      </c>
      <c r="O742">
        <v>0.2</v>
      </c>
      <c r="P742" t="s">
        <v>22</v>
      </c>
      <c r="Q742" t="s">
        <v>69</v>
      </c>
    </row>
    <row r="743" spans="1:17">
      <c r="A743">
        <v>276471356</v>
      </c>
      <c r="B743" t="s">
        <v>24</v>
      </c>
      <c r="C743" t="s">
        <v>17</v>
      </c>
      <c r="D743" s="1">
        <v>48235</v>
      </c>
      <c r="E743">
        <v>1221</v>
      </c>
      <c r="F743">
        <v>30</v>
      </c>
      <c r="G743" s="2">
        <v>2.46E-2</v>
      </c>
      <c r="H743" s="2">
        <f>Table1[[#This Row],[İade Miktarı]]/Table1[[#This Row],[Satış Miktarı]]</f>
        <v>2.4570024570024569E-2</v>
      </c>
      <c r="I743" t="s">
        <v>18</v>
      </c>
      <c r="J743">
        <v>44</v>
      </c>
      <c r="K743">
        <f>Table1[[#This Row],[Satış Miktarı]]*Table1[[#This Row],[Satış Fiyatı]]</f>
        <v>53724</v>
      </c>
      <c r="L743" t="s">
        <v>19</v>
      </c>
      <c r="M743" t="s">
        <v>42</v>
      </c>
      <c r="N743" t="s">
        <v>47</v>
      </c>
      <c r="O743">
        <v>0.2</v>
      </c>
      <c r="P743" t="s">
        <v>22</v>
      </c>
      <c r="Q743" t="s">
        <v>72</v>
      </c>
    </row>
    <row r="744" spans="1:17">
      <c r="A744">
        <v>926627997</v>
      </c>
      <c r="B744" t="s">
        <v>29</v>
      </c>
      <c r="C744" t="s">
        <v>17</v>
      </c>
      <c r="D744" s="1">
        <v>47600</v>
      </c>
      <c r="E744">
        <v>3803</v>
      </c>
      <c r="F744">
        <v>20</v>
      </c>
      <c r="G744" s="2">
        <v>5.3E-3</v>
      </c>
      <c r="H744" s="2">
        <f>Table1[[#This Row],[İade Miktarı]]/Table1[[#This Row],[Satış Miktarı]]</f>
        <v>5.2590060478569546E-3</v>
      </c>
      <c r="I744" t="s">
        <v>18</v>
      </c>
      <c r="J744">
        <v>44</v>
      </c>
      <c r="K744">
        <f>Table1[[#This Row],[Satış Miktarı]]*Table1[[#This Row],[Satış Fiyatı]]</f>
        <v>167332</v>
      </c>
      <c r="L744" t="s">
        <v>19</v>
      </c>
      <c r="M744" t="s">
        <v>46</v>
      </c>
      <c r="N744" t="s">
        <v>21</v>
      </c>
      <c r="O744">
        <v>0.2</v>
      </c>
      <c r="P744" t="s">
        <v>27</v>
      </c>
      <c r="Q744" t="s">
        <v>56</v>
      </c>
    </row>
    <row r="745" spans="1:17">
      <c r="A745">
        <v>549182793</v>
      </c>
      <c r="B745" t="s">
        <v>33</v>
      </c>
      <c r="C745" t="s">
        <v>34</v>
      </c>
      <c r="D745" s="1">
        <v>48295</v>
      </c>
      <c r="E745">
        <v>3008</v>
      </c>
      <c r="F745">
        <v>19</v>
      </c>
      <c r="G745" s="2">
        <v>6.3E-3</v>
      </c>
      <c r="H745" s="2">
        <f>Table1[[#This Row],[İade Miktarı]]/Table1[[#This Row],[Satış Miktarı]]</f>
        <v>6.3164893617021272E-3</v>
      </c>
      <c r="I745" t="s">
        <v>18</v>
      </c>
      <c r="J745">
        <v>30</v>
      </c>
      <c r="K745">
        <f>Table1[[#This Row],[Satış Miktarı]]*Table1[[#This Row],[Satış Fiyatı]]</f>
        <v>90240</v>
      </c>
      <c r="L745" t="s">
        <v>19</v>
      </c>
      <c r="M745" t="s">
        <v>46</v>
      </c>
      <c r="N745" t="s">
        <v>76</v>
      </c>
      <c r="O745">
        <v>0.2</v>
      </c>
      <c r="P745" t="s">
        <v>27</v>
      </c>
      <c r="Q745" t="s">
        <v>48</v>
      </c>
    </row>
    <row r="746" spans="1:17">
      <c r="A746">
        <v>188767352</v>
      </c>
      <c r="B746" t="s">
        <v>37</v>
      </c>
      <c r="C746" t="s">
        <v>34</v>
      </c>
      <c r="D746" s="1">
        <v>47769</v>
      </c>
      <c r="E746">
        <v>2953</v>
      </c>
      <c r="F746">
        <v>11</v>
      </c>
      <c r="G746" s="2">
        <v>3.7000000000000002E-3</v>
      </c>
      <c r="H746" s="2">
        <f>Table1[[#This Row],[İade Miktarı]]/Table1[[#This Row],[Satış Miktarı]]</f>
        <v>3.7250253979004403E-3</v>
      </c>
      <c r="I746" t="s">
        <v>45</v>
      </c>
      <c r="J746">
        <v>33</v>
      </c>
      <c r="K746">
        <f>Table1[[#This Row],[Satış Miktarı]]*Table1[[#This Row],[Satış Fiyatı]]</f>
        <v>97449</v>
      </c>
      <c r="L746" t="s">
        <v>19</v>
      </c>
      <c r="M746" t="s">
        <v>52</v>
      </c>
      <c r="N746" t="s">
        <v>31</v>
      </c>
      <c r="O746">
        <v>0.2</v>
      </c>
      <c r="P746" t="s">
        <v>27</v>
      </c>
      <c r="Q746" t="s">
        <v>23</v>
      </c>
    </row>
    <row r="747" spans="1:17">
      <c r="A747">
        <v>860704970</v>
      </c>
      <c r="B747" t="s">
        <v>41</v>
      </c>
      <c r="C747" t="s">
        <v>17</v>
      </c>
      <c r="D747" s="1">
        <v>48296</v>
      </c>
      <c r="E747">
        <v>2608</v>
      </c>
      <c r="F747">
        <v>39</v>
      </c>
      <c r="G747" s="2">
        <v>1.4999999999999999E-2</v>
      </c>
      <c r="H747" s="2">
        <f>Table1[[#This Row],[İade Miktarı]]/Table1[[#This Row],[Satış Miktarı]]</f>
        <v>1.495398773006135E-2</v>
      </c>
      <c r="I747" t="s">
        <v>18</v>
      </c>
      <c r="J747">
        <v>26</v>
      </c>
      <c r="K747">
        <f>Table1[[#This Row],[Satış Miktarı]]*Table1[[#This Row],[Satış Fiyatı]]</f>
        <v>67808</v>
      </c>
      <c r="L747" t="s">
        <v>19</v>
      </c>
      <c r="M747" t="s">
        <v>55</v>
      </c>
      <c r="N747" t="s">
        <v>76</v>
      </c>
      <c r="O747">
        <v>0.2</v>
      </c>
      <c r="P747" t="s">
        <v>27</v>
      </c>
      <c r="Q747" t="s">
        <v>62</v>
      </c>
    </row>
    <row r="748" spans="1:17">
      <c r="A748">
        <v>653194443</v>
      </c>
      <c r="B748" t="s">
        <v>44</v>
      </c>
      <c r="C748" t="s">
        <v>17</v>
      </c>
      <c r="D748" s="1">
        <v>48065</v>
      </c>
      <c r="E748">
        <v>1550</v>
      </c>
      <c r="F748">
        <v>38</v>
      </c>
      <c r="G748" s="2">
        <v>2.4500000000000001E-2</v>
      </c>
      <c r="H748" s="2">
        <f>Table1[[#This Row],[İade Miktarı]]/Table1[[#This Row],[Satış Miktarı]]</f>
        <v>2.4516129032258065E-2</v>
      </c>
      <c r="I748" t="s">
        <v>18</v>
      </c>
      <c r="J748">
        <v>50</v>
      </c>
      <c r="K748">
        <f>Table1[[#This Row],[Satış Miktarı]]*Table1[[#This Row],[Satış Fiyatı]]</f>
        <v>77500</v>
      </c>
      <c r="L748" t="s">
        <v>19</v>
      </c>
      <c r="M748" t="s">
        <v>58</v>
      </c>
      <c r="N748" t="s">
        <v>50</v>
      </c>
      <c r="O748">
        <v>0.2</v>
      </c>
      <c r="P748" t="s">
        <v>22</v>
      </c>
      <c r="Q748" t="s">
        <v>75</v>
      </c>
    </row>
    <row r="749" spans="1:17">
      <c r="A749">
        <v>821118799</v>
      </c>
      <c r="B749" t="s">
        <v>49</v>
      </c>
      <c r="C749" t="s">
        <v>34</v>
      </c>
      <c r="D749" s="1">
        <v>47513</v>
      </c>
      <c r="E749">
        <v>4084</v>
      </c>
      <c r="F749">
        <v>28</v>
      </c>
      <c r="G749" s="2">
        <v>6.8999999999999999E-3</v>
      </c>
      <c r="H749" s="2">
        <f>Table1[[#This Row],[İade Miktarı]]/Table1[[#This Row],[Satış Miktarı]]</f>
        <v>6.8560235063663075E-3</v>
      </c>
      <c r="I749" t="s">
        <v>18</v>
      </c>
      <c r="J749">
        <v>45</v>
      </c>
      <c r="K749">
        <f>Table1[[#This Row],[Satış Miktarı]]*Table1[[#This Row],[Satış Fiyatı]]</f>
        <v>183780</v>
      </c>
      <c r="L749" t="s">
        <v>19</v>
      </c>
      <c r="M749" t="s">
        <v>60</v>
      </c>
      <c r="N749" t="s">
        <v>61</v>
      </c>
      <c r="O749">
        <v>0.2</v>
      </c>
      <c r="P749" t="s">
        <v>27</v>
      </c>
      <c r="Q749" t="s">
        <v>83</v>
      </c>
    </row>
    <row r="750" spans="1:17">
      <c r="A750">
        <v>385402196</v>
      </c>
      <c r="B750" t="s">
        <v>51</v>
      </c>
      <c r="C750" t="s">
        <v>17</v>
      </c>
      <c r="D750" s="1">
        <v>48150</v>
      </c>
      <c r="E750">
        <v>3980</v>
      </c>
      <c r="F750">
        <v>30</v>
      </c>
      <c r="G750" s="2">
        <v>7.4999999999999997E-3</v>
      </c>
      <c r="H750" s="2">
        <f>Table1[[#This Row],[İade Miktarı]]/Table1[[#This Row],[Satış Miktarı]]</f>
        <v>7.537688442211055E-3</v>
      </c>
      <c r="I750" t="s">
        <v>18</v>
      </c>
      <c r="J750">
        <v>27</v>
      </c>
      <c r="K750">
        <f>Table1[[#This Row],[Satış Miktarı]]*Table1[[#This Row],[Satış Fiyatı]]</f>
        <v>107460</v>
      </c>
      <c r="L750" t="s">
        <v>19</v>
      </c>
      <c r="M750" t="s">
        <v>64</v>
      </c>
      <c r="N750" t="s">
        <v>21</v>
      </c>
      <c r="O750">
        <v>0.2</v>
      </c>
      <c r="P750" t="s">
        <v>27</v>
      </c>
      <c r="Q750" t="s">
        <v>83</v>
      </c>
    </row>
    <row r="751" spans="1:17">
      <c r="A751">
        <v>924304748</v>
      </c>
      <c r="B751" t="s">
        <v>54</v>
      </c>
      <c r="C751" t="s">
        <v>34</v>
      </c>
      <c r="D751" s="1">
        <v>47819</v>
      </c>
      <c r="E751">
        <v>3362</v>
      </c>
      <c r="F751">
        <v>45</v>
      </c>
      <c r="G751" s="2">
        <v>1.34E-2</v>
      </c>
      <c r="H751" s="2">
        <f>Table1[[#This Row],[İade Miktarı]]/Table1[[#This Row],[Satış Miktarı]]</f>
        <v>1.338488994646044E-2</v>
      </c>
      <c r="I751" t="s">
        <v>18</v>
      </c>
      <c r="J751">
        <v>43</v>
      </c>
      <c r="K751">
        <f>Table1[[#This Row],[Satış Miktarı]]*Table1[[#This Row],[Satış Fiyatı]]</f>
        <v>144566</v>
      </c>
      <c r="L751" t="s">
        <v>19</v>
      </c>
      <c r="M751" t="s">
        <v>68</v>
      </c>
      <c r="N751" t="s">
        <v>39</v>
      </c>
      <c r="O751">
        <v>0.2</v>
      </c>
      <c r="P751" t="s">
        <v>27</v>
      </c>
      <c r="Q751" t="s">
        <v>56</v>
      </c>
    </row>
    <row r="752" spans="1:17">
      <c r="A752">
        <v>224737619</v>
      </c>
      <c r="B752" t="s">
        <v>57</v>
      </c>
      <c r="C752" t="s">
        <v>34</v>
      </c>
      <c r="D752" s="1">
        <v>48372</v>
      </c>
      <c r="E752">
        <v>1461</v>
      </c>
      <c r="F752">
        <v>37</v>
      </c>
      <c r="G752" s="2">
        <v>2.53E-2</v>
      </c>
      <c r="H752" s="2">
        <f>Table1[[#This Row],[İade Miktarı]]/Table1[[#This Row],[Satış Miktarı]]</f>
        <v>2.5325119780971937E-2</v>
      </c>
      <c r="I752" t="s">
        <v>18</v>
      </c>
      <c r="J752">
        <v>40</v>
      </c>
      <c r="K752">
        <f>Table1[[#This Row],[Satış Miktarı]]*Table1[[#This Row],[Satış Fiyatı]]</f>
        <v>58440</v>
      </c>
      <c r="L752" t="s">
        <v>19</v>
      </c>
      <c r="M752" t="s">
        <v>71</v>
      </c>
      <c r="N752" t="s">
        <v>65</v>
      </c>
      <c r="O752">
        <v>0.2</v>
      </c>
      <c r="P752" t="s">
        <v>22</v>
      </c>
      <c r="Q752" t="s">
        <v>28</v>
      </c>
    </row>
    <row r="753" spans="1:17">
      <c r="A753">
        <v>270780833</v>
      </c>
      <c r="B753" t="s">
        <v>59</v>
      </c>
      <c r="C753" t="s">
        <v>17</v>
      </c>
      <c r="D753" s="1">
        <v>48088</v>
      </c>
      <c r="E753">
        <v>2327</v>
      </c>
      <c r="F753">
        <v>41</v>
      </c>
      <c r="G753" s="2">
        <v>1.7600000000000001E-2</v>
      </c>
      <c r="H753" s="2">
        <f>Table1[[#This Row],[İade Miktarı]]/Table1[[#This Row],[Satış Miktarı]]</f>
        <v>1.7619252256123763E-2</v>
      </c>
      <c r="I753" t="s">
        <v>18</v>
      </c>
      <c r="J753">
        <v>24</v>
      </c>
      <c r="K753">
        <f>Table1[[#This Row],[Satış Miktarı]]*Table1[[#This Row],[Satış Fiyatı]]</f>
        <v>55848</v>
      </c>
      <c r="L753" t="s">
        <v>19</v>
      </c>
      <c r="M753" t="s">
        <v>74</v>
      </c>
      <c r="N753" t="s">
        <v>47</v>
      </c>
      <c r="O753">
        <v>0.2</v>
      </c>
      <c r="P753" t="s">
        <v>27</v>
      </c>
      <c r="Q753" t="s">
        <v>69</v>
      </c>
    </row>
    <row r="754" spans="1:17">
      <c r="A754">
        <v>669819417</v>
      </c>
      <c r="B754" t="s">
        <v>63</v>
      </c>
      <c r="C754" t="s">
        <v>17</v>
      </c>
      <c r="D754" s="1">
        <v>47488</v>
      </c>
      <c r="E754">
        <v>4748</v>
      </c>
      <c r="F754">
        <v>29</v>
      </c>
      <c r="G754" s="2">
        <v>6.1000000000000004E-3</v>
      </c>
      <c r="H754" s="2">
        <f>Table1[[#This Row],[İade Miktarı]]/Table1[[#This Row],[Satış Miktarı]]</f>
        <v>6.1078348778433027E-3</v>
      </c>
      <c r="I754" t="s">
        <v>18</v>
      </c>
      <c r="J754">
        <v>45</v>
      </c>
      <c r="K754">
        <f>Table1[[#This Row],[Satış Miktarı]]*Table1[[#This Row],[Satış Fiyatı]]</f>
        <v>213660</v>
      </c>
      <c r="L754" t="s">
        <v>19</v>
      </c>
      <c r="M754" t="s">
        <v>20</v>
      </c>
      <c r="N754" t="s">
        <v>61</v>
      </c>
      <c r="O754">
        <v>0.2</v>
      </c>
      <c r="P754" t="s">
        <v>22</v>
      </c>
      <c r="Q754" t="s">
        <v>62</v>
      </c>
    </row>
    <row r="755" spans="1:17">
      <c r="A755">
        <v>640394490</v>
      </c>
      <c r="B755" t="s">
        <v>29</v>
      </c>
      <c r="C755" t="s">
        <v>17</v>
      </c>
      <c r="D755" s="1">
        <v>48106</v>
      </c>
      <c r="E755">
        <v>1457</v>
      </c>
      <c r="F755">
        <v>23</v>
      </c>
      <c r="G755" s="2">
        <v>1.5800000000000002E-2</v>
      </c>
      <c r="H755" s="2">
        <f>Table1[[#This Row],[İade Miktarı]]/Table1[[#This Row],[Satış Miktarı]]</f>
        <v>1.5785861358956762E-2</v>
      </c>
      <c r="I755" t="s">
        <v>18</v>
      </c>
      <c r="J755">
        <v>22</v>
      </c>
      <c r="K755">
        <f>Table1[[#This Row],[Satış Miktarı]]*Table1[[#This Row],[Satış Fiyatı]]</f>
        <v>32054</v>
      </c>
      <c r="L755" t="s">
        <v>19</v>
      </c>
      <c r="M755" t="s">
        <v>25</v>
      </c>
      <c r="N755" t="s">
        <v>39</v>
      </c>
      <c r="O755">
        <v>0.2</v>
      </c>
      <c r="P755" t="s">
        <v>22</v>
      </c>
      <c r="Q755" t="s">
        <v>77</v>
      </c>
    </row>
    <row r="756" spans="1:17">
      <c r="A756">
        <v>483519368</v>
      </c>
      <c r="B756" t="s">
        <v>33</v>
      </c>
      <c r="C756" t="s">
        <v>34</v>
      </c>
      <c r="D756" s="1">
        <v>47524</v>
      </c>
      <c r="E756">
        <v>2691</v>
      </c>
      <c r="F756">
        <v>23</v>
      </c>
      <c r="G756" s="2">
        <v>8.5000000000000006E-3</v>
      </c>
      <c r="H756" s="2">
        <f>Table1[[#This Row],[İade Miktarı]]/Table1[[#This Row],[Satış Miktarı]]</f>
        <v>8.5470085470085479E-3</v>
      </c>
      <c r="I756" t="s">
        <v>18</v>
      </c>
      <c r="J756">
        <v>34</v>
      </c>
      <c r="K756">
        <f>Table1[[#This Row],[Satış Miktarı]]*Table1[[#This Row],[Satış Fiyatı]]</f>
        <v>91494</v>
      </c>
      <c r="L756" t="s">
        <v>19</v>
      </c>
      <c r="M756" t="s">
        <v>30</v>
      </c>
      <c r="N756" t="s">
        <v>78</v>
      </c>
      <c r="O756">
        <v>0.2</v>
      </c>
      <c r="P756" t="s">
        <v>22</v>
      </c>
      <c r="Q756" t="s">
        <v>53</v>
      </c>
    </row>
    <row r="757" spans="1:17">
      <c r="A757">
        <v>530391480</v>
      </c>
      <c r="B757" t="s">
        <v>37</v>
      </c>
      <c r="C757" t="s">
        <v>34</v>
      </c>
      <c r="D757" s="1">
        <v>47520</v>
      </c>
      <c r="E757">
        <v>4384</v>
      </c>
      <c r="F757">
        <v>43</v>
      </c>
      <c r="G757" s="2">
        <v>9.7999999999999997E-3</v>
      </c>
      <c r="H757" s="2">
        <f>Table1[[#This Row],[İade Miktarı]]/Table1[[#This Row],[Satış Miktarı]]</f>
        <v>9.8083941605839418E-3</v>
      </c>
      <c r="I757" t="s">
        <v>18</v>
      </c>
      <c r="J757">
        <v>43</v>
      </c>
      <c r="K757">
        <f>Table1[[#This Row],[Satış Miktarı]]*Table1[[#This Row],[Satış Fiyatı]]</f>
        <v>188512</v>
      </c>
      <c r="L757" t="s">
        <v>19</v>
      </c>
      <c r="M757" t="s">
        <v>35</v>
      </c>
      <c r="N757" t="s">
        <v>43</v>
      </c>
      <c r="O757">
        <v>0.2</v>
      </c>
      <c r="P757" t="s">
        <v>27</v>
      </c>
      <c r="Q757" t="s">
        <v>53</v>
      </c>
    </row>
    <row r="758" spans="1:17">
      <c r="A758">
        <v>829891994</v>
      </c>
      <c r="B758" t="s">
        <v>41</v>
      </c>
      <c r="C758" t="s">
        <v>17</v>
      </c>
      <c r="D758" s="1">
        <v>47542</v>
      </c>
      <c r="E758">
        <v>4390</v>
      </c>
      <c r="F758">
        <v>47</v>
      </c>
      <c r="G758" s="2">
        <v>1.0699999999999999E-2</v>
      </c>
      <c r="H758" s="2">
        <f>Table1[[#This Row],[İade Miktarı]]/Table1[[#This Row],[Satış Miktarı]]</f>
        <v>1.070615034168565E-2</v>
      </c>
      <c r="I758" t="s">
        <v>18</v>
      </c>
      <c r="J758">
        <v>21</v>
      </c>
      <c r="K758">
        <f>Table1[[#This Row],[Satış Miktarı]]*Table1[[#This Row],[Satış Fiyatı]]</f>
        <v>92190</v>
      </c>
      <c r="L758" t="s">
        <v>19</v>
      </c>
      <c r="M758" t="s">
        <v>38</v>
      </c>
      <c r="N758" t="s">
        <v>39</v>
      </c>
      <c r="O758">
        <v>0.2</v>
      </c>
      <c r="P758" t="s">
        <v>22</v>
      </c>
      <c r="Q758" t="s">
        <v>75</v>
      </c>
    </row>
    <row r="759" spans="1:17">
      <c r="A759">
        <v>397599962</v>
      </c>
      <c r="B759" t="s">
        <v>44</v>
      </c>
      <c r="C759" t="s">
        <v>17</v>
      </c>
      <c r="D759" s="1">
        <v>48059</v>
      </c>
      <c r="E759">
        <v>4355</v>
      </c>
      <c r="F759">
        <v>50</v>
      </c>
      <c r="G759" s="2">
        <v>1.15E-2</v>
      </c>
      <c r="H759" s="2">
        <f>Table1[[#This Row],[İade Miktarı]]/Table1[[#This Row],[Satış Miktarı]]</f>
        <v>1.1481056257175661E-2</v>
      </c>
      <c r="I759" t="s">
        <v>18</v>
      </c>
      <c r="J759">
        <v>31</v>
      </c>
      <c r="K759">
        <f>Table1[[#This Row],[Satış Miktarı]]*Table1[[#This Row],[Satış Fiyatı]]</f>
        <v>135005</v>
      </c>
      <c r="L759" t="s">
        <v>19</v>
      </c>
      <c r="M759" t="s">
        <v>42</v>
      </c>
      <c r="N759" t="s">
        <v>26</v>
      </c>
      <c r="O759">
        <v>0.2</v>
      </c>
      <c r="P759" t="s">
        <v>22</v>
      </c>
      <c r="Q759" t="s">
        <v>84</v>
      </c>
    </row>
    <row r="760" spans="1:17">
      <c r="A760">
        <v>446236210</v>
      </c>
      <c r="B760" t="s">
        <v>49</v>
      </c>
      <c r="C760" t="s">
        <v>34</v>
      </c>
      <c r="D760" s="1">
        <v>48503</v>
      </c>
      <c r="E760">
        <v>2721</v>
      </c>
      <c r="F760">
        <v>35</v>
      </c>
      <c r="G760" s="2">
        <v>1.29E-2</v>
      </c>
      <c r="H760" s="2">
        <f>Table1[[#This Row],[İade Miktarı]]/Table1[[#This Row],[Satış Miktarı]]</f>
        <v>1.2862918044836457E-2</v>
      </c>
      <c r="I760" t="s">
        <v>87</v>
      </c>
      <c r="J760">
        <v>25</v>
      </c>
      <c r="K760">
        <f>Table1[[#This Row],[Satış Miktarı]]*Table1[[#This Row],[Satış Fiyatı]]</f>
        <v>68025</v>
      </c>
      <c r="L760" t="s">
        <v>88</v>
      </c>
      <c r="M760" t="s">
        <v>46</v>
      </c>
      <c r="N760" t="s">
        <v>65</v>
      </c>
      <c r="O760">
        <v>0.2</v>
      </c>
      <c r="P760" t="s">
        <v>27</v>
      </c>
      <c r="Q760" t="s">
        <v>83</v>
      </c>
    </row>
    <row r="761" spans="1:17">
      <c r="A761">
        <v>55216453</v>
      </c>
      <c r="B761" t="s">
        <v>51</v>
      </c>
      <c r="C761" t="s">
        <v>17</v>
      </c>
      <c r="D761" s="1">
        <v>47901</v>
      </c>
      <c r="E761">
        <v>3867</v>
      </c>
      <c r="F761">
        <v>17</v>
      </c>
      <c r="G761" s="2">
        <v>4.4000000000000003E-3</v>
      </c>
      <c r="H761" s="2">
        <f>Table1[[#This Row],[İade Miktarı]]/Table1[[#This Row],[Satış Miktarı]]</f>
        <v>4.3961727437289893E-3</v>
      </c>
      <c r="I761" t="s">
        <v>18</v>
      </c>
      <c r="J761">
        <v>44</v>
      </c>
      <c r="K761">
        <f>Table1[[#This Row],[Satış Miktarı]]*Table1[[#This Row],[Satış Fiyatı]]</f>
        <v>170148</v>
      </c>
      <c r="L761" t="s">
        <v>19</v>
      </c>
      <c r="M761" t="s">
        <v>46</v>
      </c>
      <c r="N761" t="s">
        <v>21</v>
      </c>
      <c r="O761">
        <v>0.2</v>
      </c>
      <c r="P761" t="s">
        <v>27</v>
      </c>
      <c r="Q761" t="s">
        <v>23</v>
      </c>
    </row>
    <row r="762" spans="1:17">
      <c r="A762">
        <v>202941633</v>
      </c>
      <c r="B762" t="s">
        <v>54</v>
      </c>
      <c r="C762" t="s">
        <v>34</v>
      </c>
      <c r="D762" s="1">
        <v>47792</v>
      </c>
      <c r="E762">
        <v>2858</v>
      </c>
      <c r="F762">
        <v>41</v>
      </c>
      <c r="G762" s="2">
        <v>1.43E-2</v>
      </c>
      <c r="H762" s="2">
        <f>Table1[[#This Row],[İade Miktarı]]/Table1[[#This Row],[Satış Miktarı]]</f>
        <v>1.4345696291112667E-2</v>
      </c>
      <c r="I762" t="s">
        <v>18</v>
      </c>
      <c r="J762">
        <v>45</v>
      </c>
      <c r="K762">
        <f>Table1[[#This Row],[Satış Miktarı]]*Table1[[#This Row],[Satış Fiyatı]]</f>
        <v>128610</v>
      </c>
      <c r="L762" t="s">
        <v>19</v>
      </c>
      <c r="M762" t="s">
        <v>52</v>
      </c>
      <c r="N762" t="s">
        <v>21</v>
      </c>
      <c r="O762">
        <v>0.2</v>
      </c>
      <c r="P762" t="s">
        <v>22</v>
      </c>
      <c r="Q762" t="s">
        <v>83</v>
      </c>
    </row>
    <row r="763" spans="1:17">
      <c r="A763">
        <v>674171804</v>
      </c>
      <c r="B763" t="s">
        <v>57</v>
      </c>
      <c r="C763" t="s">
        <v>34</v>
      </c>
      <c r="D763" s="1">
        <v>48396</v>
      </c>
      <c r="E763">
        <v>4065</v>
      </c>
      <c r="F763">
        <v>34</v>
      </c>
      <c r="G763" s="2">
        <v>8.3999999999999995E-3</v>
      </c>
      <c r="H763" s="2">
        <f>Table1[[#This Row],[İade Miktarı]]/Table1[[#This Row],[Satış Miktarı]]</f>
        <v>8.3640836408364078E-3</v>
      </c>
      <c r="I763" t="s">
        <v>18</v>
      </c>
      <c r="J763">
        <v>22</v>
      </c>
      <c r="K763">
        <f>Table1[[#This Row],[Satış Miktarı]]*Table1[[#This Row],[Satış Fiyatı]]</f>
        <v>89430</v>
      </c>
      <c r="L763" t="s">
        <v>19</v>
      </c>
      <c r="M763" t="s">
        <v>55</v>
      </c>
      <c r="N763" t="s">
        <v>50</v>
      </c>
      <c r="O763">
        <v>0.2</v>
      </c>
      <c r="P763" t="s">
        <v>27</v>
      </c>
      <c r="Q763" t="s">
        <v>56</v>
      </c>
    </row>
    <row r="764" spans="1:17">
      <c r="A764">
        <v>157973318</v>
      </c>
      <c r="B764" t="s">
        <v>59</v>
      </c>
      <c r="C764" t="s">
        <v>17</v>
      </c>
      <c r="D764" s="1">
        <v>47881</v>
      </c>
      <c r="E764">
        <v>4422</v>
      </c>
      <c r="F764">
        <v>23</v>
      </c>
      <c r="G764" s="2">
        <v>5.1999999999999998E-3</v>
      </c>
      <c r="H764" s="2">
        <f>Table1[[#This Row],[İade Miktarı]]/Table1[[#This Row],[Satış Miktarı]]</f>
        <v>5.2012663952962458E-3</v>
      </c>
      <c r="I764" t="s">
        <v>18</v>
      </c>
      <c r="J764">
        <v>44</v>
      </c>
      <c r="K764">
        <f>Table1[[#This Row],[Satış Miktarı]]*Table1[[#This Row],[Satış Fiyatı]]</f>
        <v>194568</v>
      </c>
      <c r="L764" t="s">
        <v>19</v>
      </c>
      <c r="M764" t="s">
        <v>58</v>
      </c>
      <c r="N764" t="s">
        <v>39</v>
      </c>
      <c r="O764">
        <v>0.2</v>
      </c>
      <c r="P764" t="s">
        <v>27</v>
      </c>
      <c r="Q764" t="s">
        <v>62</v>
      </c>
    </row>
    <row r="765" spans="1:17">
      <c r="A765">
        <v>825040602</v>
      </c>
      <c r="B765" t="s">
        <v>63</v>
      </c>
      <c r="C765" t="s">
        <v>17</v>
      </c>
      <c r="D765" s="1">
        <v>47990</v>
      </c>
      <c r="E765">
        <v>2865</v>
      </c>
      <c r="F765">
        <v>11</v>
      </c>
      <c r="G765" s="2">
        <v>3.8E-3</v>
      </c>
      <c r="H765" s="2">
        <f>Table1[[#This Row],[İade Miktarı]]/Table1[[#This Row],[Satış Miktarı]]</f>
        <v>3.8394415357766143E-3</v>
      </c>
      <c r="I765" t="s">
        <v>18</v>
      </c>
      <c r="J765">
        <v>27</v>
      </c>
      <c r="K765">
        <f>Table1[[#This Row],[Satış Miktarı]]*Table1[[#This Row],[Satış Fiyatı]]</f>
        <v>77355</v>
      </c>
      <c r="L765" t="s">
        <v>19</v>
      </c>
      <c r="M765" t="s">
        <v>60</v>
      </c>
      <c r="N765" t="s">
        <v>78</v>
      </c>
      <c r="O765">
        <v>0.2</v>
      </c>
      <c r="P765" t="s">
        <v>27</v>
      </c>
      <c r="Q765" t="s">
        <v>62</v>
      </c>
    </row>
    <row r="766" spans="1:17">
      <c r="A766">
        <v>709356251</v>
      </c>
      <c r="B766" t="s">
        <v>67</v>
      </c>
      <c r="C766" t="s">
        <v>17</v>
      </c>
      <c r="D766" s="1">
        <v>48410</v>
      </c>
      <c r="E766">
        <v>2011</v>
      </c>
      <c r="F766">
        <v>38</v>
      </c>
      <c r="G766" s="2">
        <v>1.89E-2</v>
      </c>
      <c r="H766" s="2">
        <f>Table1[[#This Row],[İade Miktarı]]/Table1[[#This Row],[Satış Miktarı]]</f>
        <v>1.8896071606166086E-2</v>
      </c>
      <c r="I766" t="s">
        <v>18</v>
      </c>
      <c r="J766">
        <v>40</v>
      </c>
      <c r="K766">
        <f>Table1[[#This Row],[Satış Miktarı]]*Table1[[#This Row],[Satış Fiyatı]]</f>
        <v>80440</v>
      </c>
      <c r="L766" t="s">
        <v>19</v>
      </c>
      <c r="M766" t="s">
        <v>64</v>
      </c>
      <c r="N766" t="s">
        <v>26</v>
      </c>
      <c r="O766">
        <v>0.2</v>
      </c>
      <c r="P766" t="s">
        <v>27</v>
      </c>
      <c r="Q766" t="s">
        <v>66</v>
      </c>
    </row>
    <row r="767" spans="1:17">
      <c r="A767">
        <v>95818469</v>
      </c>
      <c r="B767" t="s">
        <v>70</v>
      </c>
      <c r="C767" t="s">
        <v>17</v>
      </c>
      <c r="D767" s="1">
        <v>47840</v>
      </c>
      <c r="E767">
        <v>1906</v>
      </c>
      <c r="F767">
        <v>29</v>
      </c>
      <c r="G767" s="2">
        <v>1.52E-2</v>
      </c>
      <c r="H767" s="2">
        <f>Table1[[#This Row],[İade Miktarı]]/Table1[[#This Row],[Satış Miktarı]]</f>
        <v>1.5215110178384051E-2</v>
      </c>
      <c r="I767" t="s">
        <v>18</v>
      </c>
      <c r="J767">
        <v>35</v>
      </c>
      <c r="K767">
        <f>Table1[[#This Row],[Satış Miktarı]]*Table1[[#This Row],[Satış Fiyatı]]</f>
        <v>66710</v>
      </c>
      <c r="L767" t="s">
        <v>19</v>
      </c>
      <c r="M767" t="s">
        <v>68</v>
      </c>
      <c r="N767" t="s">
        <v>76</v>
      </c>
      <c r="O767">
        <v>0.2</v>
      </c>
      <c r="P767" t="s">
        <v>27</v>
      </c>
      <c r="Q767" t="s">
        <v>62</v>
      </c>
    </row>
    <row r="768" spans="1:17">
      <c r="A768">
        <v>983907638</v>
      </c>
      <c r="B768" t="s">
        <v>73</v>
      </c>
      <c r="C768" t="s">
        <v>17</v>
      </c>
      <c r="D768" s="1">
        <v>48526</v>
      </c>
      <c r="E768">
        <v>3466</v>
      </c>
      <c r="F768">
        <v>41</v>
      </c>
      <c r="G768" s="2">
        <v>1.18E-2</v>
      </c>
      <c r="H768" s="2">
        <f>Table1[[#This Row],[İade Miktarı]]/Table1[[#This Row],[Satış Miktarı]]</f>
        <v>1.1829197922677438E-2</v>
      </c>
      <c r="I768" t="s">
        <v>18</v>
      </c>
      <c r="J768">
        <v>47</v>
      </c>
      <c r="K768">
        <f>Table1[[#This Row],[Satış Miktarı]]*Table1[[#This Row],[Satış Fiyatı]]</f>
        <v>162902</v>
      </c>
      <c r="L768" t="s">
        <v>19</v>
      </c>
      <c r="M768" t="s">
        <v>71</v>
      </c>
      <c r="N768" t="s">
        <v>31</v>
      </c>
      <c r="O768">
        <v>0.2</v>
      </c>
      <c r="P768" t="s">
        <v>27</v>
      </c>
      <c r="Q768" t="s">
        <v>48</v>
      </c>
    </row>
    <row r="769" spans="1:17">
      <c r="A769">
        <v>862858059</v>
      </c>
      <c r="B769" t="s">
        <v>16</v>
      </c>
      <c r="C769" t="s">
        <v>17</v>
      </c>
      <c r="D769" s="1">
        <v>47864</v>
      </c>
      <c r="E769">
        <v>4507</v>
      </c>
      <c r="F769">
        <v>50</v>
      </c>
      <c r="G769" s="2">
        <v>1.11E-2</v>
      </c>
      <c r="H769" s="2">
        <f>Table1[[#This Row],[İade Miktarı]]/Table1[[#This Row],[Satış Miktarı]]</f>
        <v>1.1093854004881295E-2</v>
      </c>
      <c r="I769" t="s">
        <v>18</v>
      </c>
      <c r="J769">
        <v>39</v>
      </c>
      <c r="K769">
        <f>Table1[[#This Row],[Satış Miktarı]]*Table1[[#This Row],[Satış Fiyatı]]</f>
        <v>175773</v>
      </c>
      <c r="L769" t="s">
        <v>19</v>
      </c>
      <c r="M769" t="s">
        <v>74</v>
      </c>
      <c r="N769" t="s">
        <v>76</v>
      </c>
      <c r="O769">
        <v>0.2</v>
      </c>
      <c r="P769" t="s">
        <v>22</v>
      </c>
      <c r="Q769" t="s">
        <v>66</v>
      </c>
    </row>
    <row r="770" spans="1:17">
      <c r="A770">
        <v>793077513</v>
      </c>
      <c r="B770" t="s">
        <v>24</v>
      </c>
      <c r="C770" t="s">
        <v>17</v>
      </c>
      <c r="D770" s="1">
        <v>48013</v>
      </c>
      <c r="E770">
        <v>2636</v>
      </c>
      <c r="F770">
        <v>36</v>
      </c>
      <c r="G770" s="2">
        <v>1.37E-2</v>
      </c>
      <c r="H770" s="2">
        <f>Table1[[#This Row],[İade Miktarı]]/Table1[[#This Row],[Satış Miktarı]]</f>
        <v>1.3657056145675266E-2</v>
      </c>
      <c r="I770" t="s">
        <v>18</v>
      </c>
      <c r="J770">
        <v>44</v>
      </c>
      <c r="K770">
        <f>Table1[[#This Row],[Satış Miktarı]]*Table1[[#This Row],[Satış Fiyatı]]</f>
        <v>115984</v>
      </c>
      <c r="L770" t="s">
        <v>19</v>
      </c>
      <c r="M770" t="s">
        <v>20</v>
      </c>
      <c r="N770" t="s">
        <v>47</v>
      </c>
      <c r="O770">
        <v>0.2</v>
      </c>
      <c r="P770" t="s">
        <v>22</v>
      </c>
      <c r="Q770" t="s">
        <v>23</v>
      </c>
    </row>
    <row r="771" spans="1:17">
      <c r="A771">
        <v>25453052</v>
      </c>
      <c r="B771" t="s">
        <v>29</v>
      </c>
      <c r="C771" t="s">
        <v>17</v>
      </c>
      <c r="D771" s="1">
        <v>48087</v>
      </c>
      <c r="E771">
        <v>3434</v>
      </c>
      <c r="F771">
        <v>47</v>
      </c>
      <c r="G771" s="2">
        <v>1.37E-2</v>
      </c>
      <c r="H771" s="2">
        <f>Table1[[#This Row],[İade Miktarı]]/Table1[[#This Row],[Satış Miktarı]]</f>
        <v>1.3686662783925451E-2</v>
      </c>
      <c r="I771" t="s">
        <v>18</v>
      </c>
      <c r="J771">
        <v>31</v>
      </c>
      <c r="K771">
        <f>Table1[[#This Row],[Satış Miktarı]]*Table1[[#This Row],[Satış Fiyatı]]</f>
        <v>106454</v>
      </c>
      <c r="L771" t="s">
        <v>19</v>
      </c>
      <c r="M771" t="s">
        <v>25</v>
      </c>
      <c r="N771" t="s">
        <v>26</v>
      </c>
      <c r="O771">
        <v>0.2</v>
      </c>
      <c r="P771" t="s">
        <v>22</v>
      </c>
      <c r="Q771" t="s">
        <v>82</v>
      </c>
    </row>
    <row r="772" spans="1:17">
      <c r="A772">
        <v>221808921</v>
      </c>
      <c r="B772" t="s">
        <v>33</v>
      </c>
      <c r="C772" t="s">
        <v>34</v>
      </c>
      <c r="D772" s="1">
        <v>47663</v>
      </c>
      <c r="E772">
        <v>1078</v>
      </c>
      <c r="F772">
        <v>38</v>
      </c>
      <c r="G772" s="2">
        <v>3.5299999999999998E-2</v>
      </c>
      <c r="H772" s="2">
        <f>Table1[[#This Row],[İade Miktarı]]/Table1[[#This Row],[Satış Miktarı]]</f>
        <v>3.525046382189239E-2</v>
      </c>
      <c r="I772" t="s">
        <v>18</v>
      </c>
      <c r="J772">
        <v>23</v>
      </c>
      <c r="K772">
        <f>Table1[[#This Row],[Satış Miktarı]]*Table1[[#This Row],[Satış Fiyatı]]</f>
        <v>24794</v>
      </c>
      <c r="L772" t="s">
        <v>19</v>
      </c>
      <c r="M772" t="s">
        <v>30</v>
      </c>
      <c r="N772" t="s">
        <v>50</v>
      </c>
      <c r="O772">
        <v>0.2</v>
      </c>
      <c r="P772" t="s">
        <v>22</v>
      </c>
      <c r="Q772" t="s">
        <v>79</v>
      </c>
    </row>
    <row r="773" spans="1:17">
      <c r="A773">
        <v>736805568</v>
      </c>
      <c r="B773" t="s">
        <v>37</v>
      </c>
      <c r="C773" t="s">
        <v>34</v>
      </c>
      <c r="D773" s="1">
        <v>48477</v>
      </c>
      <c r="E773">
        <v>4693</v>
      </c>
      <c r="F773">
        <v>35</v>
      </c>
      <c r="G773" s="2">
        <v>7.4999999999999997E-3</v>
      </c>
      <c r="H773" s="2">
        <f>Table1[[#This Row],[İade Miktarı]]/Table1[[#This Row],[Satış Miktarı]]</f>
        <v>7.4579160451736628E-3</v>
      </c>
      <c r="I773" t="s">
        <v>18</v>
      </c>
      <c r="J773">
        <v>27</v>
      </c>
      <c r="K773">
        <f>Table1[[#This Row],[Satış Miktarı]]*Table1[[#This Row],[Satış Fiyatı]]</f>
        <v>126711</v>
      </c>
      <c r="L773" t="s">
        <v>19</v>
      </c>
      <c r="M773" t="s">
        <v>35</v>
      </c>
      <c r="N773" t="s">
        <v>76</v>
      </c>
      <c r="O773">
        <v>0.2</v>
      </c>
      <c r="P773" t="s">
        <v>22</v>
      </c>
      <c r="Q773" t="s">
        <v>82</v>
      </c>
    </row>
    <row r="774" spans="1:17">
      <c r="A774">
        <v>282238916</v>
      </c>
      <c r="B774" t="s">
        <v>41</v>
      </c>
      <c r="C774" t="s">
        <v>17</v>
      </c>
      <c r="D774" s="1">
        <v>47694</v>
      </c>
      <c r="E774">
        <v>4373</v>
      </c>
      <c r="F774">
        <v>24</v>
      </c>
      <c r="G774" s="2">
        <v>5.4999999999999997E-3</v>
      </c>
      <c r="H774" s="2">
        <f>Table1[[#This Row],[İade Miktarı]]/Table1[[#This Row],[Satış Miktarı]]</f>
        <v>5.4882231877429683E-3</v>
      </c>
      <c r="I774" t="s">
        <v>18</v>
      </c>
      <c r="J774">
        <v>30</v>
      </c>
      <c r="K774">
        <f>Table1[[#This Row],[Satış Miktarı]]*Table1[[#This Row],[Satış Fiyatı]]</f>
        <v>131190</v>
      </c>
      <c r="L774" t="s">
        <v>19</v>
      </c>
      <c r="M774" t="s">
        <v>38</v>
      </c>
      <c r="N774" t="s">
        <v>31</v>
      </c>
      <c r="O774">
        <v>0.2</v>
      </c>
      <c r="P774" t="s">
        <v>27</v>
      </c>
      <c r="Q774" t="s">
        <v>28</v>
      </c>
    </row>
    <row r="775" spans="1:17">
      <c r="A775">
        <v>534209154</v>
      </c>
      <c r="B775" t="s">
        <v>44</v>
      </c>
      <c r="C775" t="s">
        <v>17</v>
      </c>
      <c r="D775" s="1">
        <v>47783</v>
      </c>
      <c r="E775">
        <v>3067</v>
      </c>
      <c r="F775">
        <v>13</v>
      </c>
      <c r="G775" s="2">
        <v>4.1999999999999997E-3</v>
      </c>
      <c r="H775" s="2">
        <f>Table1[[#This Row],[İade Miktarı]]/Table1[[#This Row],[Satış Miktarı]]</f>
        <v>4.2386697098141506E-3</v>
      </c>
      <c r="I775" t="s">
        <v>18</v>
      </c>
      <c r="J775">
        <v>39</v>
      </c>
      <c r="K775">
        <f>Table1[[#This Row],[Satış Miktarı]]*Table1[[#This Row],[Satış Fiyatı]]</f>
        <v>119613</v>
      </c>
      <c r="L775" t="s">
        <v>19</v>
      </c>
      <c r="M775" t="s">
        <v>42</v>
      </c>
      <c r="N775" t="s">
        <v>47</v>
      </c>
      <c r="O775">
        <v>0.2</v>
      </c>
      <c r="P775" t="s">
        <v>27</v>
      </c>
      <c r="Q775" t="s">
        <v>75</v>
      </c>
    </row>
    <row r="776" spans="1:17">
      <c r="A776">
        <v>520884253</v>
      </c>
      <c r="B776" t="s">
        <v>49</v>
      </c>
      <c r="C776" t="s">
        <v>34</v>
      </c>
      <c r="D776" s="1">
        <v>47520</v>
      </c>
      <c r="E776">
        <v>4590</v>
      </c>
      <c r="F776">
        <v>14</v>
      </c>
      <c r="G776" s="2">
        <v>3.0999999999999999E-3</v>
      </c>
      <c r="H776" s="2">
        <f>Table1[[#This Row],[İade Miktarı]]/Table1[[#This Row],[Satış Miktarı]]</f>
        <v>3.0501089324618735E-3</v>
      </c>
      <c r="I776" t="s">
        <v>18</v>
      </c>
      <c r="J776">
        <v>30</v>
      </c>
      <c r="K776">
        <f>Table1[[#This Row],[Satış Miktarı]]*Table1[[#This Row],[Satış Fiyatı]]</f>
        <v>137700</v>
      </c>
      <c r="L776" t="s">
        <v>19</v>
      </c>
      <c r="M776" t="s">
        <v>46</v>
      </c>
      <c r="N776" t="s">
        <v>47</v>
      </c>
      <c r="O776">
        <v>0.2</v>
      </c>
      <c r="P776" t="s">
        <v>22</v>
      </c>
      <c r="Q776" t="s">
        <v>69</v>
      </c>
    </row>
    <row r="777" spans="1:17">
      <c r="A777">
        <v>240809617</v>
      </c>
      <c r="B777" t="s">
        <v>51</v>
      </c>
      <c r="C777" t="s">
        <v>17</v>
      </c>
      <c r="D777" s="1">
        <v>48075</v>
      </c>
      <c r="E777">
        <v>2724</v>
      </c>
      <c r="F777">
        <v>32</v>
      </c>
      <c r="G777" s="2">
        <v>1.17E-2</v>
      </c>
      <c r="H777" s="2">
        <f>Table1[[#This Row],[İade Miktarı]]/Table1[[#This Row],[Satış Miktarı]]</f>
        <v>1.1747430249632892E-2</v>
      </c>
      <c r="I777" t="s">
        <v>18</v>
      </c>
      <c r="J777">
        <v>47</v>
      </c>
      <c r="K777">
        <f>Table1[[#This Row],[Satış Miktarı]]*Table1[[#This Row],[Satış Fiyatı]]</f>
        <v>128028</v>
      </c>
      <c r="L777" t="s">
        <v>19</v>
      </c>
      <c r="M777" t="s">
        <v>46</v>
      </c>
      <c r="N777" t="s">
        <v>61</v>
      </c>
      <c r="O777">
        <v>0.2</v>
      </c>
      <c r="P777" t="s">
        <v>27</v>
      </c>
      <c r="Q777" t="s">
        <v>32</v>
      </c>
    </row>
    <row r="778" spans="1:17">
      <c r="A778">
        <v>832168829</v>
      </c>
      <c r="B778" t="s">
        <v>54</v>
      </c>
      <c r="C778" t="s">
        <v>34</v>
      </c>
      <c r="D778" s="1">
        <v>48128</v>
      </c>
      <c r="E778">
        <v>3869</v>
      </c>
      <c r="F778">
        <v>32</v>
      </c>
      <c r="G778" s="2">
        <v>8.3000000000000001E-3</v>
      </c>
      <c r="H778" s="2">
        <f>Table1[[#This Row],[İade Miktarı]]/Table1[[#This Row],[Satış Miktarı]]</f>
        <v>8.2708710261049367E-3</v>
      </c>
      <c r="I778" t="s">
        <v>18</v>
      </c>
      <c r="J778">
        <v>20</v>
      </c>
      <c r="K778">
        <f>Table1[[#This Row],[Satış Miktarı]]*Table1[[#This Row],[Satış Fiyatı]]</f>
        <v>77380</v>
      </c>
      <c r="L778" t="s">
        <v>19</v>
      </c>
      <c r="M778" t="s">
        <v>52</v>
      </c>
      <c r="N778" t="s">
        <v>31</v>
      </c>
      <c r="O778">
        <v>0.2</v>
      </c>
      <c r="P778" t="s">
        <v>22</v>
      </c>
      <c r="Q778" t="s">
        <v>62</v>
      </c>
    </row>
    <row r="779" spans="1:17">
      <c r="A779">
        <v>168209471</v>
      </c>
      <c r="B779" t="s">
        <v>57</v>
      </c>
      <c r="C779" t="s">
        <v>34</v>
      </c>
      <c r="D779" s="1">
        <v>47687</v>
      </c>
      <c r="E779">
        <v>1351</v>
      </c>
      <c r="F779">
        <v>45</v>
      </c>
      <c r="G779" s="2">
        <v>3.3300000000000003E-2</v>
      </c>
      <c r="H779" s="2">
        <f>Table1[[#This Row],[İade Miktarı]]/Table1[[#This Row],[Satış Miktarı]]</f>
        <v>3.3308660251665435E-2</v>
      </c>
      <c r="I779" t="s">
        <v>18</v>
      </c>
      <c r="J779">
        <v>36</v>
      </c>
      <c r="K779">
        <f>Table1[[#This Row],[Satış Miktarı]]*Table1[[#This Row],[Satış Fiyatı]]</f>
        <v>48636</v>
      </c>
      <c r="L779" t="s">
        <v>19</v>
      </c>
      <c r="M779" t="s">
        <v>55</v>
      </c>
      <c r="N779" t="s">
        <v>65</v>
      </c>
      <c r="O779">
        <v>0.2</v>
      </c>
      <c r="P779" t="s">
        <v>22</v>
      </c>
      <c r="Q779" t="s">
        <v>72</v>
      </c>
    </row>
    <row r="780" spans="1:17">
      <c r="A780">
        <v>759152309</v>
      </c>
      <c r="B780" t="s">
        <v>59</v>
      </c>
      <c r="C780" t="s">
        <v>17</v>
      </c>
      <c r="D780" s="1">
        <v>48435</v>
      </c>
      <c r="E780">
        <v>1866</v>
      </c>
      <c r="F780">
        <v>14</v>
      </c>
      <c r="G780" s="2">
        <v>7.4999999999999997E-3</v>
      </c>
      <c r="H780" s="2">
        <f>Table1[[#This Row],[İade Miktarı]]/Table1[[#This Row],[Satış Miktarı]]</f>
        <v>7.502679528403001E-3</v>
      </c>
      <c r="I780" t="s">
        <v>18</v>
      </c>
      <c r="J780">
        <v>36</v>
      </c>
      <c r="K780">
        <f>Table1[[#This Row],[Satış Miktarı]]*Table1[[#This Row],[Satış Fiyatı]]</f>
        <v>67176</v>
      </c>
      <c r="L780" t="s">
        <v>19</v>
      </c>
      <c r="M780" t="s">
        <v>58</v>
      </c>
      <c r="N780" t="s">
        <v>39</v>
      </c>
      <c r="O780">
        <v>0.2</v>
      </c>
      <c r="P780" t="s">
        <v>27</v>
      </c>
      <c r="Q780" t="s">
        <v>69</v>
      </c>
    </row>
    <row r="781" spans="1:17">
      <c r="A781">
        <v>987593866</v>
      </c>
      <c r="B781" t="s">
        <v>63</v>
      </c>
      <c r="C781" t="s">
        <v>17</v>
      </c>
      <c r="D781" s="1">
        <v>48241</v>
      </c>
      <c r="E781">
        <v>3647</v>
      </c>
      <c r="F781">
        <v>14</v>
      </c>
      <c r="G781" s="2">
        <v>3.8E-3</v>
      </c>
      <c r="H781" s="2">
        <f>Table1[[#This Row],[İade Miktarı]]/Table1[[#This Row],[Satış Miktarı]]</f>
        <v>3.838771593090211E-3</v>
      </c>
      <c r="I781" t="s">
        <v>18</v>
      </c>
      <c r="J781">
        <v>30</v>
      </c>
      <c r="K781">
        <f>Table1[[#This Row],[Satış Miktarı]]*Table1[[#This Row],[Satış Fiyatı]]</f>
        <v>109410</v>
      </c>
      <c r="L781" t="s">
        <v>19</v>
      </c>
      <c r="M781" t="s">
        <v>60</v>
      </c>
      <c r="N781" t="s">
        <v>76</v>
      </c>
      <c r="O781">
        <v>0.2</v>
      </c>
      <c r="P781" t="s">
        <v>22</v>
      </c>
      <c r="Q781" t="s">
        <v>36</v>
      </c>
    </row>
    <row r="782" spans="1:17">
      <c r="A782">
        <v>28716372</v>
      </c>
      <c r="B782" t="s">
        <v>67</v>
      </c>
      <c r="C782" t="s">
        <v>17</v>
      </c>
      <c r="D782" s="1">
        <v>48104</v>
      </c>
      <c r="E782">
        <v>4772</v>
      </c>
      <c r="F782">
        <v>25</v>
      </c>
      <c r="G782" s="2">
        <v>5.1999999999999998E-3</v>
      </c>
      <c r="H782" s="2">
        <f>Table1[[#This Row],[İade Miktarı]]/Table1[[#This Row],[Satış Miktarı]]</f>
        <v>5.238893545683152E-3</v>
      </c>
      <c r="I782" t="s">
        <v>18</v>
      </c>
      <c r="J782">
        <v>32</v>
      </c>
      <c r="K782">
        <f>Table1[[#This Row],[Satış Miktarı]]*Table1[[#This Row],[Satış Fiyatı]]</f>
        <v>152704</v>
      </c>
      <c r="L782" t="s">
        <v>19</v>
      </c>
      <c r="M782" t="s">
        <v>64</v>
      </c>
      <c r="N782" t="s">
        <v>39</v>
      </c>
      <c r="O782">
        <v>0.2</v>
      </c>
      <c r="P782" t="s">
        <v>22</v>
      </c>
      <c r="Q782" t="s">
        <v>77</v>
      </c>
    </row>
    <row r="783" spans="1:17">
      <c r="A783">
        <v>417312213</v>
      </c>
      <c r="B783" t="s">
        <v>70</v>
      </c>
      <c r="C783" t="s">
        <v>17</v>
      </c>
      <c r="D783" s="1">
        <v>48025</v>
      </c>
      <c r="E783">
        <v>1542</v>
      </c>
      <c r="F783">
        <v>50</v>
      </c>
      <c r="G783" s="2">
        <v>3.2399999999999998E-2</v>
      </c>
      <c r="H783" s="2">
        <f>Table1[[#This Row],[İade Miktarı]]/Table1[[#This Row],[Satış Miktarı]]</f>
        <v>3.2425421530479899E-2</v>
      </c>
      <c r="I783" t="s">
        <v>18</v>
      </c>
      <c r="J783">
        <v>34</v>
      </c>
      <c r="K783">
        <f>Table1[[#This Row],[Satış Miktarı]]*Table1[[#This Row],[Satış Fiyatı]]</f>
        <v>52428</v>
      </c>
      <c r="L783" t="s">
        <v>19</v>
      </c>
      <c r="M783" t="s">
        <v>68</v>
      </c>
      <c r="N783" t="s">
        <v>61</v>
      </c>
      <c r="O783">
        <v>0.2</v>
      </c>
      <c r="P783" t="s">
        <v>27</v>
      </c>
      <c r="Q783" t="s">
        <v>36</v>
      </c>
    </row>
    <row r="784" spans="1:17">
      <c r="A784">
        <v>943750835</v>
      </c>
      <c r="B784" t="s">
        <v>73</v>
      </c>
      <c r="C784" t="s">
        <v>17</v>
      </c>
      <c r="D784" s="1">
        <v>48019</v>
      </c>
      <c r="E784">
        <v>3348</v>
      </c>
      <c r="F784">
        <v>47</v>
      </c>
      <c r="G784" s="2">
        <v>1.4E-2</v>
      </c>
      <c r="H784" s="2">
        <f>Table1[[#This Row],[İade Miktarı]]/Table1[[#This Row],[Satış Miktarı]]</f>
        <v>1.4038231780167264E-2</v>
      </c>
      <c r="I784" t="s">
        <v>18</v>
      </c>
      <c r="J784">
        <v>36</v>
      </c>
      <c r="K784">
        <f>Table1[[#This Row],[Satış Miktarı]]*Table1[[#This Row],[Satış Fiyatı]]</f>
        <v>120528</v>
      </c>
      <c r="L784" t="s">
        <v>19</v>
      </c>
      <c r="M784" t="s">
        <v>71</v>
      </c>
      <c r="N784" t="s">
        <v>47</v>
      </c>
      <c r="O784">
        <v>0.2</v>
      </c>
      <c r="P784" t="s">
        <v>22</v>
      </c>
      <c r="Q784" t="s">
        <v>79</v>
      </c>
    </row>
    <row r="785" spans="1:17">
      <c r="A785">
        <v>537955402</v>
      </c>
      <c r="B785" t="s">
        <v>16</v>
      </c>
      <c r="C785" t="s">
        <v>17</v>
      </c>
      <c r="D785" s="1">
        <v>48158</v>
      </c>
      <c r="E785">
        <v>2233</v>
      </c>
      <c r="F785">
        <v>26</v>
      </c>
      <c r="G785" s="2">
        <v>1.1599999999999999E-2</v>
      </c>
      <c r="H785" s="2">
        <f>Table1[[#This Row],[İade Miktarı]]/Table1[[#This Row],[Satış Miktarı]]</f>
        <v>1.1643528884908196E-2</v>
      </c>
      <c r="I785" t="s">
        <v>18</v>
      </c>
      <c r="J785">
        <v>23</v>
      </c>
      <c r="K785">
        <f>Table1[[#This Row],[Satış Miktarı]]*Table1[[#This Row],[Satış Fiyatı]]</f>
        <v>51359</v>
      </c>
      <c r="L785" t="s">
        <v>19</v>
      </c>
      <c r="M785" t="s">
        <v>74</v>
      </c>
      <c r="N785" t="s">
        <v>61</v>
      </c>
      <c r="O785">
        <v>0.2</v>
      </c>
      <c r="P785" t="s">
        <v>22</v>
      </c>
      <c r="Q785" t="s">
        <v>82</v>
      </c>
    </row>
    <row r="786" spans="1:17">
      <c r="A786">
        <v>470189075</v>
      </c>
      <c r="B786" t="s">
        <v>24</v>
      </c>
      <c r="C786" t="s">
        <v>17</v>
      </c>
      <c r="D786" s="1">
        <v>47524</v>
      </c>
      <c r="E786">
        <v>2511</v>
      </c>
      <c r="F786">
        <v>20</v>
      </c>
      <c r="G786" s="2">
        <v>8.0000000000000002E-3</v>
      </c>
      <c r="H786" s="2">
        <f>Table1[[#This Row],[İade Miktarı]]/Table1[[#This Row],[Satış Miktarı]]</f>
        <v>7.9649542015133405E-3</v>
      </c>
      <c r="I786" t="s">
        <v>18</v>
      </c>
      <c r="J786">
        <v>47</v>
      </c>
      <c r="K786">
        <f>Table1[[#This Row],[Satış Miktarı]]*Table1[[#This Row],[Satış Fiyatı]]</f>
        <v>118017</v>
      </c>
      <c r="L786" t="s">
        <v>19</v>
      </c>
      <c r="M786" t="s">
        <v>20</v>
      </c>
      <c r="N786" t="s">
        <v>43</v>
      </c>
      <c r="O786">
        <v>0.2</v>
      </c>
      <c r="P786" t="s">
        <v>27</v>
      </c>
      <c r="Q786" t="s">
        <v>80</v>
      </c>
    </row>
    <row r="787" spans="1:17">
      <c r="A787">
        <v>547849400</v>
      </c>
      <c r="B787" t="s">
        <v>29</v>
      </c>
      <c r="C787" t="s">
        <v>17</v>
      </c>
      <c r="D787" s="1">
        <v>48560</v>
      </c>
      <c r="E787">
        <v>4119</v>
      </c>
      <c r="F787">
        <v>17</v>
      </c>
      <c r="G787" s="2">
        <v>4.1000000000000003E-3</v>
      </c>
      <c r="H787" s="2">
        <f>Table1[[#This Row],[İade Miktarı]]/Table1[[#This Row],[Satış Miktarı]]</f>
        <v>4.1272153435299832E-3</v>
      </c>
      <c r="I787" t="s">
        <v>18</v>
      </c>
      <c r="J787">
        <v>39</v>
      </c>
      <c r="K787">
        <f>Table1[[#This Row],[Satış Miktarı]]*Table1[[#This Row],[Satış Fiyatı]]</f>
        <v>160641</v>
      </c>
      <c r="L787" t="s">
        <v>19</v>
      </c>
      <c r="M787" t="s">
        <v>25</v>
      </c>
      <c r="N787" t="s">
        <v>39</v>
      </c>
      <c r="O787">
        <v>0.2</v>
      </c>
      <c r="P787" t="s">
        <v>22</v>
      </c>
      <c r="Q787" t="s">
        <v>66</v>
      </c>
    </row>
    <row r="788" spans="1:17">
      <c r="A788">
        <v>650430486</v>
      </c>
      <c r="B788" t="s">
        <v>33</v>
      </c>
      <c r="C788" t="s">
        <v>34</v>
      </c>
      <c r="D788" s="1">
        <v>48181</v>
      </c>
      <c r="E788">
        <v>3690</v>
      </c>
      <c r="F788">
        <v>24</v>
      </c>
      <c r="G788" s="2">
        <v>6.4999999999999997E-3</v>
      </c>
      <c r="H788" s="2">
        <f>Table1[[#This Row],[İade Miktarı]]/Table1[[#This Row],[Satış Miktarı]]</f>
        <v>6.5040650406504065E-3</v>
      </c>
      <c r="I788" t="s">
        <v>18</v>
      </c>
      <c r="J788">
        <v>22</v>
      </c>
      <c r="K788">
        <f>Table1[[#This Row],[Satış Miktarı]]*Table1[[#This Row],[Satış Fiyatı]]</f>
        <v>81180</v>
      </c>
      <c r="L788" t="s">
        <v>19</v>
      </c>
      <c r="M788" t="s">
        <v>30</v>
      </c>
      <c r="N788" t="s">
        <v>61</v>
      </c>
      <c r="O788">
        <v>0.2</v>
      </c>
      <c r="P788" t="s">
        <v>22</v>
      </c>
      <c r="Q788" t="s">
        <v>48</v>
      </c>
    </row>
    <row r="789" spans="1:17">
      <c r="A789">
        <v>927872729</v>
      </c>
      <c r="B789" t="s">
        <v>37</v>
      </c>
      <c r="C789" t="s">
        <v>34</v>
      </c>
      <c r="D789" s="1">
        <v>48228</v>
      </c>
      <c r="E789">
        <v>2147</v>
      </c>
      <c r="F789">
        <v>43</v>
      </c>
      <c r="G789" s="2">
        <v>0.02</v>
      </c>
      <c r="H789" s="2">
        <f>Table1[[#This Row],[İade Miktarı]]/Table1[[#This Row],[Satış Miktarı]]</f>
        <v>2.0027945971122497E-2</v>
      </c>
      <c r="I789" t="s">
        <v>18</v>
      </c>
      <c r="J789">
        <v>33</v>
      </c>
      <c r="K789">
        <f>Table1[[#This Row],[Satış Miktarı]]*Table1[[#This Row],[Satış Fiyatı]]</f>
        <v>70851</v>
      </c>
      <c r="L789" t="s">
        <v>19</v>
      </c>
      <c r="M789" t="s">
        <v>35</v>
      </c>
      <c r="N789" t="s">
        <v>21</v>
      </c>
      <c r="O789">
        <v>0.2</v>
      </c>
      <c r="P789" t="s">
        <v>22</v>
      </c>
      <c r="Q789" t="s">
        <v>28</v>
      </c>
    </row>
    <row r="790" spans="1:17">
      <c r="A790">
        <v>206931471</v>
      </c>
      <c r="B790" t="s">
        <v>41</v>
      </c>
      <c r="C790" t="s">
        <v>17</v>
      </c>
      <c r="D790" s="1">
        <v>48077</v>
      </c>
      <c r="E790">
        <v>1097</v>
      </c>
      <c r="F790">
        <v>32</v>
      </c>
      <c r="G790" s="2">
        <v>2.92E-2</v>
      </c>
      <c r="H790" s="2">
        <f>Table1[[#This Row],[İade Miktarı]]/Table1[[#This Row],[Satış Miktarı]]</f>
        <v>2.9170464904284411E-2</v>
      </c>
      <c r="I790" t="s">
        <v>45</v>
      </c>
      <c r="J790">
        <v>44</v>
      </c>
      <c r="K790">
        <f>Table1[[#This Row],[Satış Miktarı]]*Table1[[#This Row],[Satış Fiyatı]]</f>
        <v>48268</v>
      </c>
      <c r="L790" t="s">
        <v>19</v>
      </c>
      <c r="M790" t="s">
        <v>38</v>
      </c>
      <c r="N790" t="s">
        <v>21</v>
      </c>
      <c r="O790">
        <v>0.2</v>
      </c>
      <c r="P790" t="s">
        <v>27</v>
      </c>
      <c r="Q790" t="s">
        <v>23</v>
      </c>
    </row>
    <row r="791" spans="1:17">
      <c r="A791">
        <v>353193985</v>
      </c>
      <c r="B791" t="s">
        <v>44</v>
      </c>
      <c r="C791" t="s">
        <v>17</v>
      </c>
      <c r="D791" s="1">
        <v>47495</v>
      </c>
      <c r="E791">
        <v>1366</v>
      </c>
      <c r="F791">
        <v>30</v>
      </c>
      <c r="G791" s="2">
        <v>2.1999999999999999E-2</v>
      </c>
      <c r="H791" s="2">
        <f>Table1[[#This Row],[İade Miktarı]]/Table1[[#This Row],[Satış Miktarı]]</f>
        <v>2.1961932650073207E-2</v>
      </c>
      <c r="I791" t="s">
        <v>18</v>
      </c>
      <c r="J791">
        <v>47</v>
      </c>
      <c r="K791">
        <f>Table1[[#This Row],[Satış Miktarı]]*Table1[[#This Row],[Satış Fiyatı]]</f>
        <v>64202</v>
      </c>
      <c r="L791" t="s">
        <v>19</v>
      </c>
      <c r="M791" t="s">
        <v>42</v>
      </c>
      <c r="N791" t="s">
        <v>65</v>
      </c>
      <c r="O791">
        <v>0.2</v>
      </c>
      <c r="P791" t="s">
        <v>22</v>
      </c>
      <c r="Q791" t="s">
        <v>84</v>
      </c>
    </row>
    <row r="792" spans="1:17">
      <c r="A792">
        <v>624465341</v>
      </c>
      <c r="B792" t="s">
        <v>49</v>
      </c>
      <c r="C792" t="s">
        <v>34</v>
      </c>
      <c r="D792" s="1">
        <v>47518</v>
      </c>
      <c r="E792">
        <v>1711</v>
      </c>
      <c r="F792">
        <v>35</v>
      </c>
      <c r="G792" s="2">
        <v>2.0500000000000001E-2</v>
      </c>
      <c r="H792" s="2">
        <f>Table1[[#This Row],[İade Miktarı]]/Table1[[#This Row],[Satış Miktarı]]</f>
        <v>2.0455873758036237E-2</v>
      </c>
      <c r="I792" t="s">
        <v>18</v>
      </c>
      <c r="J792">
        <v>46</v>
      </c>
      <c r="K792">
        <f>Table1[[#This Row],[Satış Miktarı]]*Table1[[#This Row],[Satış Fiyatı]]</f>
        <v>78706</v>
      </c>
      <c r="L792" t="s">
        <v>19</v>
      </c>
      <c r="M792" t="s">
        <v>46</v>
      </c>
      <c r="N792" t="s">
        <v>50</v>
      </c>
      <c r="O792">
        <v>0.2</v>
      </c>
      <c r="P792" t="s">
        <v>27</v>
      </c>
      <c r="Q792" t="s">
        <v>75</v>
      </c>
    </row>
    <row r="793" spans="1:17">
      <c r="A793">
        <v>176669340</v>
      </c>
      <c r="B793" t="s">
        <v>51</v>
      </c>
      <c r="C793" t="s">
        <v>17</v>
      </c>
      <c r="D793" s="1">
        <v>48010</v>
      </c>
      <c r="E793">
        <v>4013</v>
      </c>
      <c r="F793">
        <v>42</v>
      </c>
      <c r="G793" s="2">
        <v>1.0500000000000001E-2</v>
      </c>
      <c r="H793" s="2">
        <f>Table1[[#This Row],[İade Miktarı]]/Table1[[#This Row],[Satış Miktarı]]</f>
        <v>1.046598554697234E-2</v>
      </c>
      <c r="I793" t="s">
        <v>18</v>
      </c>
      <c r="J793">
        <v>46</v>
      </c>
      <c r="K793">
        <f>Table1[[#This Row],[Satış Miktarı]]*Table1[[#This Row],[Satış Fiyatı]]</f>
        <v>184598</v>
      </c>
      <c r="L793" t="s">
        <v>19</v>
      </c>
      <c r="M793" t="s">
        <v>46</v>
      </c>
      <c r="N793" t="s">
        <v>76</v>
      </c>
      <c r="O793">
        <v>0.2</v>
      </c>
      <c r="P793" t="s">
        <v>27</v>
      </c>
      <c r="Q793" t="s">
        <v>40</v>
      </c>
    </row>
    <row r="794" spans="1:17">
      <c r="A794">
        <v>918290682</v>
      </c>
      <c r="B794" t="s">
        <v>54</v>
      </c>
      <c r="C794" t="s">
        <v>34</v>
      </c>
      <c r="D794" s="1">
        <v>48021</v>
      </c>
      <c r="E794">
        <v>4341</v>
      </c>
      <c r="F794">
        <v>14</v>
      </c>
      <c r="G794" s="2">
        <v>3.2000000000000002E-3</v>
      </c>
      <c r="H794" s="2">
        <f>Table1[[#This Row],[İade Miktarı]]/Table1[[#This Row],[Satış Miktarı]]</f>
        <v>3.2250633494586502E-3</v>
      </c>
      <c r="I794" t="s">
        <v>18</v>
      </c>
      <c r="J794">
        <v>36</v>
      </c>
      <c r="K794">
        <f>Table1[[#This Row],[Satış Miktarı]]*Table1[[#This Row],[Satış Fiyatı]]</f>
        <v>156276</v>
      </c>
      <c r="L794" t="s">
        <v>19</v>
      </c>
      <c r="M794" t="s">
        <v>52</v>
      </c>
      <c r="N794" t="s">
        <v>21</v>
      </c>
      <c r="O794">
        <v>0.2</v>
      </c>
      <c r="P794" t="s">
        <v>22</v>
      </c>
      <c r="Q794" t="s">
        <v>36</v>
      </c>
    </row>
    <row r="795" spans="1:17">
      <c r="A795">
        <v>309617803</v>
      </c>
      <c r="B795" t="s">
        <v>57</v>
      </c>
      <c r="C795" t="s">
        <v>34</v>
      </c>
      <c r="D795" s="1">
        <v>47974</v>
      </c>
      <c r="E795">
        <v>4945</v>
      </c>
      <c r="F795">
        <v>18</v>
      </c>
      <c r="G795" s="2">
        <v>3.5999999999999999E-3</v>
      </c>
      <c r="H795" s="2">
        <f>Table1[[#This Row],[İade Miktarı]]/Table1[[#This Row],[Satış Miktarı]]</f>
        <v>3.640040444893832E-3</v>
      </c>
      <c r="I795" t="s">
        <v>18</v>
      </c>
      <c r="J795">
        <v>33</v>
      </c>
      <c r="K795">
        <f>Table1[[#This Row],[Satış Miktarı]]*Table1[[#This Row],[Satış Fiyatı]]</f>
        <v>163185</v>
      </c>
      <c r="L795" t="s">
        <v>19</v>
      </c>
      <c r="M795" t="s">
        <v>55</v>
      </c>
      <c r="N795" t="s">
        <v>78</v>
      </c>
      <c r="O795">
        <v>0.2</v>
      </c>
      <c r="P795" t="s">
        <v>27</v>
      </c>
      <c r="Q795" t="s">
        <v>62</v>
      </c>
    </row>
    <row r="796" spans="1:17">
      <c r="A796">
        <v>947366302</v>
      </c>
      <c r="B796" t="s">
        <v>59</v>
      </c>
      <c r="C796" t="s">
        <v>17</v>
      </c>
      <c r="D796" s="1">
        <v>47983</v>
      </c>
      <c r="E796">
        <v>2083</v>
      </c>
      <c r="F796">
        <v>20</v>
      </c>
      <c r="G796" s="2">
        <v>9.5999999999999992E-3</v>
      </c>
      <c r="H796" s="2">
        <f>Table1[[#This Row],[İade Miktarı]]/Table1[[#This Row],[Satış Miktarı]]</f>
        <v>9.6015362457993279E-3</v>
      </c>
      <c r="I796" t="s">
        <v>18</v>
      </c>
      <c r="J796">
        <v>20</v>
      </c>
      <c r="K796">
        <f>Table1[[#This Row],[Satış Miktarı]]*Table1[[#This Row],[Satış Fiyatı]]</f>
        <v>41660</v>
      </c>
      <c r="L796" t="s">
        <v>19</v>
      </c>
      <c r="M796" t="s">
        <v>58</v>
      </c>
      <c r="N796" t="s">
        <v>78</v>
      </c>
      <c r="O796">
        <v>0.2</v>
      </c>
      <c r="P796" t="s">
        <v>22</v>
      </c>
      <c r="Q796" t="s">
        <v>53</v>
      </c>
    </row>
    <row r="797" spans="1:17">
      <c r="A797">
        <v>356680263</v>
      </c>
      <c r="B797" t="s">
        <v>63</v>
      </c>
      <c r="C797" t="s">
        <v>17</v>
      </c>
      <c r="D797" s="1">
        <v>48127</v>
      </c>
      <c r="E797">
        <v>3399</v>
      </c>
      <c r="F797">
        <v>48</v>
      </c>
      <c r="G797" s="2">
        <v>1.41E-2</v>
      </c>
      <c r="H797" s="2">
        <f>Table1[[#This Row],[İade Miktarı]]/Table1[[#This Row],[Satış Miktarı]]</f>
        <v>1.412180052956752E-2</v>
      </c>
      <c r="I797" t="s">
        <v>18</v>
      </c>
      <c r="J797">
        <v>24</v>
      </c>
      <c r="K797">
        <f>Table1[[#This Row],[Satış Miktarı]]*Table1[[#This Row],[Satış Fiyatı]]</f>
        <v>81576</v>
      </c>
      <c r="L797" t="s">
        <v>19</v>
      </c>
      <c r="M797" t="s">
        <v>60</v>
      </c>
      <c r="N797" t="s">
        <v>65</v>
      </c>
      <c r="O797">
        <v>0.2</v>
      </c>
      <c r="P797" t="s">
        <v>27</v>
      </c>
      <c r="Q797" t="s">
        <v>28</v>
      </c>
    </row>
    <row r="798" spans="1:17">
      <c r="A798">
        <v>690364047</v>
      </c>
      <c r="B798" t="s">
        <v>29</v>
      </c>
      <c r="C798" t="s">
        <v>17</v>
      </c>
      <c r="D798" s="1">
        <v>47827</v>
      </c>
      <c r="E798">
        <v>4345</v>
      </c>
      <c r="F798">
        <v>41</v>
      </c>
      <c r="G798" s="2">
        <v>9.4000000000000004E-3</v>
      </c>
      <c r="H798" s="2">
        <f>Table1[[#This Row],[İade Miktarı]]/Table1[[#This Row],[Satış Miktarı]]</f>
        <v>9.4361334867663973E-3</v>
      </c>
      <c r="I798" t="s">
        <v>18</v>
      </c>
      <c r="J798">
        <v>30</v>
      </c>
      <c r="K798">
        <f>Table1[[#This Row],[Satış Miktarı]]*Table1[[#This Row],[Satış Fiyatı]]</f>
        <v>130350</v>
      </c>
      <c r="L798" t="s">
        <v>19</v>
      </c>
      <c r="M798" t="s">
        <v>64</v>
      </c>
      <c r="N798" t="s">
        <v>39</v>
      </c>
      <c r="O798">
        <v>0.2</v>
      </c>
      <c r="P798" t="s">
        <v>27</v>
      </c>
      <c r="Q798" t="s">
        <v>62</v>
      </c>
    </row>
    <row r="799" spans="1:17">
      <c r="A799">
        <v>593943033</v>
      </c>
      <c r="B799" t="s">
        <v>33</v>
      </c>
      <c r="C799" t="s">
        <v>34</v>
      </c>
      <c r="D799" s="1">
        <v>48016</v>
      </c>
      <c r="E799">
        <v>2502</v>
      </c>
      <c r="F799">
        <v>44</v>
      </c>
      <c r="G799" s="2">
        <v>1.7600000000000001E-2</v>
      </c>
      <c r="H799" s="2">
        <f>Table1[[#This Row],[İade Miktarı]]/Table1[[#This Row],[Satış Miktarı]]</f>
        <v>1.7585931254996003E-2</v>
      </c>
      <c r="I799" t="s">
        <v>18</v>
      </c>
      <c r="J799">
        <v>31</v>
      </c>
      <c r="K799">
        <f>Table1[[#This Row],[Satış Miktarı]]*Table1[[#This Row],[Satış Fiyatı]]</f>
        <v>77562</v>
      </c>
      <c r="L799" t="s">
        <v>19</v>
      </c>
      <c r="M799" t="s">
        <v>68</v>
      </c>
      <c r="N799" t="s">
        <v>47</v>
      </c>
      <c r="O799">
        <v>0.2</v>
      </c>
      <c r="P799" t="s">
        <v>22</v>
      </c>
      <c r="Q799" t="s">
        <v>48</v>
      </c>
    </row>
    <row r="800" spans="1:17">
      <c r="A800">
        <v>282270759</v>
      </c>
      <c r="B800" t="s">
        <v>37</v>
      </c>
      <c r="C800" t="s">
        <v>34</v>
      </c>
      <c r="D800" s="1">
        <v>48345</v>
      </c>
      <c r="E800">
        <v>3537</v>
      </c>
      <c r="F800">
        <v>11</v>
      </c>
      <c r="G800" s="2">
        <v>3.0999999999999999E-3</v>
      </c>
      <c r="H800" s="2">
        <f>Table1[[#This Row],[İade Miktarı]]/Table1[[#This Row],[Satış Miktarı]]</f>
        <v>3.1099802092168505E-3</v>
      </c>
      <c r="I800" t="s">
        <v>18</v>
      </c>
      <c r="J800">
        <v>30</v>
      </c>
      <c r="K800">
        <f>Table1[[#This Row],[Satış Miktarı]]*Table1[[#This Row],[Satış Fiyatı]]</f>
        <v>106110</v>
      </c>
      <c r="L800" t="s">
        <v>19</v>
      </c>
      <c r="M800" t="s">
        <v>71</v>
      </c>
      <c r="N800" t="s">
        <v>21</v>
      </c>
      <c r="O800">
        <v>0.2</v>
      </c>
      <c r="P800" t="s">
        <v>27</v>
      </c>
      <c r="Q800" t="s">
        <v>79</v>
      </c>
    </row>
    <row r="801" spans="1:17">
      <c r="A801">
        <v>352676457</v>
      </c>
      <c r="B801" t="s">
        <v>41</v>
      </c>
      <c r="C801" t="s">
        <v>17</v>
      </c>
      <c r="D801" s="1">
        <v>48468</v>
      </c>
      <c r="E801">
        <v>2156</v>
      </c>
      <c r="F801">
        <v>11</v>
      </c>
      <c r="G801" s="2">
        <v>5.1000000000000004E-3</v>
      </c>
      <c r="H801" s="2">
        <f>Table1[[#This Row],[İade Miktarı]]/Table1[[#This Row],[Satış Miktarı]]</f>
        <v>5.1020408163265302E-3</v>
      </c>
      <c r="I801" t="s">
        <v>18</v>
      </c>
      <c r="J801">
        <v>49</v>
      </c>
      <c r="K801">
        <f>Table1[[#This Row],[Satış Miktarı]]*Table1[[#This Row],[Satış Fiyatı]]</f>
        <v>105644</v>
      </c>
      <c r="L801" t="s">
        <v>19</v>
      </c>
      <c r="M801" t="s">
        <v>74</v>
      </c>
      <c r="N801" t="s">
        <v>26</v>
      </c>
      <c r="O801">
        <v>0.2</v>
      </c>
      <c r="P801" t="s">
        <v>27</v>
      </c>
      <c r="Q801" t="s">
        <v>32</v>
      </c>
    </row>
    <row r="802" spans="1:17">
      <c r="A802">
        <v>80087218</v>
      </c>
      <c r="B802" t="s">
        <v>44</v>
      </c>
      <c r="C802" t="s">
        <v>17</v>
      </c>
      <c r="D802" s="1">
        <v>48338</v>
      </c>
      <c r="E802">
        <v>3814</v>
      </c>
      <c r="F802">
        <v>35</v>
      </c>
      <c r="G802" s="2">
        <v>9.1999999999999998E-3</v>
      </c>
      <c r="H802" s="2">
        <f>Table1[[#This Row],[İade Miktarı]]/Table1[[#This Row],[Satış Miktarı]]</f>
        <v>9.1767173571054017E-3</v>
      </c>
      <c r="I802" t="s">
        <v>18</v>
      </c>
      <c r="J802">
        <v>25</v>
      </c>
      <c r="K802">
        <f>Table1[[#This Row],[Satış Miktarı]]*Table1[[#This Row],[Satış Fiyatı]]</f>
        <v>95350</v>
      </c>
      <c r="L802" t="s">
        <v>19</v>
      </c>
      <c r="M802" t="s">
        <v>20</v>
      </c>
      <c r="N802" t="s">
        <v>76</v>
      </c>
      <c r="O802">
        <v>0.2</v>
      </c>
      <c r="P802" t="s">
        <v>22</v>
      </c>
      <c r="Q802" t="s">
        <v>79</v>
      </c>
    </row>
    <row r="803" spans="1:17">
      <c r="A803">
        <v>893296679</v>
      </c>
      <c r="B803" t="s">
        <v>49</v>
      </c>
      <c r="C803" t="s">
        <v>34</v>
      </c>
      <c r="D803" s="1">
        <v>48028</v>
      </c>
      <c r="E803">
        <v>1691</v>
      </c>
      <c r="F803">
        <v>43</v>
      </c>
      <c r="G803" s="2">
        <v>2.5399999999999999E-2</v>
      </c>
      <c r="H803" s="2">
        <f>Table1[[#This Row],[İade Miktarı]]/Table1[[#This Row],[Satış Miktarı]]</f>
        <v>2.5428740390301598E-2</v>
      </c>
      <c r="I803" t="s">
        <v>18</v>
      </c>
      <c r="J803">
        <v>39</v>
      </c>
      <c r="K803">
        <f>Table1[[#This Row],[Satış Miktarı]]*Table1[[#This Row],[Satış Fiyatı]]</f>
        <v>65949</v>
      </c>
      <c r="L803" t="s">
        <v>19</v>
      </c>
      <c r="M803" t="s">
        <v>25</v>
      </c>
      <c r="N803" t="s">
        <v>21</v>
      </c>
      <c r="O803">
        <v>0.2</v>
      </c>
      <c r="P803" t="s">
        <v>27</v>
      </c>
      <c r="Q803" t="s">
        <v>84</v>
      </c>
    </row>
    <row r="804" spans="1:17">
      <c r="A804">
        <v>517329539</v>
      </c>
      <c r="B804" t="s">
        <v>51</v>
      </c>
      <c r="C804" t="s">
        <v>17</v>
      </c>
      <c r="D804" s="1">
        <v>48436</v>
      </c>
      <c r="E804">
        <v>4435</v>
      </c>
      <c r="F804">
        <v>19</v>
      </c>
      <c r="G804" s="2">
        <v>4.3E-3</v>
      </c>
      <c r="H804" s="2">
        <f>Table1[[#This Row],[İade Miktarı]]/Table1[[#This Row],[Satış Miktarı]]</f>
        <v>4.2841037204058626E-3</v>
      </c>
      <c r="I804" t="s">
        <v>18</v>
      </c>
      <c r="J804">
        <v>38</v>
      </c>
      <c r="K804">
        <f>Table1[[#This Row],[Satış Miktarı]]*Table1[[#This Row],[Satış Fiyatı]]</f>
        <v>168530</v>
      </c>
      <c r="L804" t="s">
        <v>19</v>
      </c>
      <c r="M804" t="s">
        <v>30</v>
      </c>
      <c r="N804" t="s">
        <v>61</v>
      </c>
      <c r="O804">
        <v>0.2</v>
      </c>
      <c r="P804" t="s">
        <v>22</v>
      </c>
      <c r="Q804" t="s">
        <v>69</v>
      </c>
    </row>
    <row r="805" spans="1:17">
      <c r="A805">
        <v>547379153</v>
      </c>
      <c r="B805" t="s">
        <v>54</v>
      </c>
      <c r="C805" t="s">
        <v>34</v>
      </c>
      <c r="D805" s="1">
        <v>48367</v>
      </c>
      <c r="E805">
        <v>3088</v>
      </c>
      <c r="F805">
        <v>19</v>
      </c>
      <c r="G805" s="2">
        <v>6.1999999999999998E-3</v>
      </c>
      <c r="H805" s="2">
        <f>Table1[[#This Row],[İade Miktarı]]/Table1[[#This Row],[Satış Miktarı]]</f>
        <v>6.1528497409326427E-3</v>
      </c>
      <c r="I805" t="s">
        <v>18</v>
      </c>
      <c r="J805">
        <v>30</v>
      </c>
      <c r="K805">
        <f>Table1[[#This Row],[Satış Miktarı]]*Table1[[#This Row],[Satış Fiyatı]]</f>
        <v>92640</v>
      </c>
      <c r="L805" t="s">
        <v>19</v>
      </c>
      <c r="M805" t="s">
        <v>35</v>
      </c>
      <c r="N805" t="s">
        <v>76</v>
      </c>
      <c r="O805">
        <v>0.2</v>
      </c>
      <c r="P805" t="s">
        <v>22</v>
      </c>
      <c r="Q805" t="s">
        <v>84</v>
      </c>
    </row>
    <row r="806" spans="1:17">
      <c r="A806">
        <v>780633625</v>
      </c>
      <c r="B806" t="s">
        <v>57</v>
      </c>
      <c r="C806" t="s">
        <v>34</v>
      </c>
      <c r="D806" s="1">
        <v>48553</v>
      </c>
      <c r="E806">
        <v>3554</v>
      </c>
      <c r="F806">
        <v>18</v>
      </c>
      <c r="G806" s="2">
        <v>5.1000000000000004E-3</v>
      </c>
      <c r="H806" s="2">
        <f>Table1[[#This Row],[İade Miktarı]]/Table1[[#This Row],[Satış Miktarı]]</f>
        <v>5.064715813168261E-3</v>
      </c>
      <c r="I806" t="s">
        <v>18</v>
      </c>
      <c r="J806">
        <v>33</v>
      </c>
      <c r="K806">
        <f>Table1[[#This Row],[Satış Miktarı]]*Table1[[#This Row],[Satış Fiyatı]]</f>
        <v>117282</v>
      </c>
      <c r="L806" t="s">
        <v>19</v>
      </c>
      <c r="M806" t="s">
        <v>38</v>
      </c>
      <c r="N806" t="s">
        <v>78</v>
      </c>
      <c r="O806">
        <v>0.2</v>
      </c>
      <c r="P806" t="s">
        <v>22</v>
      </c>
      <c r="Q806" t="s">
        <v>66</v>
      </c>
    </row>
    <row r="807" spans="1:17">
      <c r="A807">
        <v>882074937</v>
      </c>
      <c r="B807" t="s">
        <v>59</v>
      </c>
      <c r="C807" t="s">
        <v>17</v>
      </c>
      <c r="D807" s="1">
        <v>48025</v>
      </c>
      <c r="E807">
        <v>2764</v>
      </c>
      <c r="F807">
        <v>17</v>
      </c>
      <c r="G807" s="2">
        <v>6.1999999999999998E-3</v>
      </c>
      <c r="H807" s="2">
        <f>Table1[[#This Row],[İade Miktarı]]/Table1[[#This Row],[Satış Miktarı]]</f>
        <v>6.1505065123010133E-3</v>
      </c>
      <c r="I807" t="s">
        <v>18</v>
      </c>
      <c r="J807">
        <v>21</v>
      </c>
      <c r="K807">
        <f>Table1[[#This Row],[Satış Miktarı]]*Table1[[#This Row],[Satış Fiyatı]]</f>
        <v>58044</v>
      </c>
      <c r="L807" t="s">
        <v>19</v>
      </c>
      <c r="M807" t="s">
        <v>42</v>
      </c>
      <c r="N807" t="s">
        <v>61</v>
      </c>
      <c r="O807">
        <v>0.2</v>
      </c>
      <c r="P807" t="s">
        <v>22</v>
      </c>
      <c r="Q807" t="s">
        <v>48</v>
      </c>
    </row>
    <row r="808" spans="1:17">
      <c r="A808">
        <v>905254708</v>
      </c>
      <c r="B808" t="s">
        <v>63</v>
      </c>
      <c r="C808" t="s">
        <v>17</v>
      </c>
      <c r="D808" s="1">
        <v>47520</v>
      </c>
      <c r="E808">
        <v>3921</v>
      </c>
      <c r="F808">
        <v>14</v>
      </c>
      <c r="G808" s="2">
        <v>3.5999999999999999E-3</v>
      </c>
      <c r="H808" s="2">
        <f>Table1[[#This Row],[İade Miktarı]]/Table1[[#This Row],[Satış Miktarı]]</f>
        <v>3.5705177250701351E-3</v>
      </c>
      <c r="I808" t="s">
        <v>18</v>
      </c>
      <c r="J808">
        <v>34</v>
      </c>
      <c r="K808">
        <f>Table1[[#This Row],[Satış Miktarı]]*Table1[[#This Row],[Satış Fiyatı]]</f>
        <v>133314</v>
      </c>
      <c r="L808" t="s">
        <v>19</v>
      </c>
      <c r="M808" t="s">
        <v>46</v>
      </c>
      <c r="N808" t="s">
        <v>21</v>
      </c>
      <c r="O808">
        <v>0.2</v>
      </c>
      <c r="P808" t="s">
        <v>22</v>
      </c>
      <c r="Q808" t="s">
        <v>48</v>
      </c>
    </row>
    <row r="809" spans="1:17">
      <c r="A809">
        <v>663132136</v>
      </c>
      <c r="B809" t="s">
        <v>67</v>
      </c>
      <c r="C809" t="s">
        <v>17</v>
      </c>
      <c r="D809" s="1">
        <v>47760</v>
      </c>
      <c r="E809">
        <v>2558</v>
      </c>
      <c r="F809">
        <v>17</v>
      </c>
      <c r="G809" s="2">
        <v>6.6E-3</v>
      </c>
      <c r="H809" s="2">
        <f>Table1[[#This Row],[İade Miktarı]]/Table1[[#This Row],[Satış Miktarı]]</f>
        <v>6.645817044566067E-3</v>
      </c>
      <c r="I809" t="s">
        <v>18</v>
      </c>
      <c r="J809">
        <v>32</v>
      </c>
      <c r="K809">
        <f>Table1[[#This Row],[Satış Miktarı]]*Table1[[#This Row],[Satış Fiyatı]]</f>
        <v>81856</v>
      </c>
      <c r="L809" t="s">
        <v>19</v>
      </c>
      <c r="M809" t="s">
        <v>46</v>
      </c>
      <c r="N809" t="s">
        <v>21</v>
      </c>
      <c r="O809">
        <v>0.2</v>
      </c>
      <c r="P809" t="s">
        <v>27</v>
      </c>
      <c r="Q809" t="s">
        <v>84</v>
      </c>
    </row>
    <row r="810" spans="1:17">
      <c r="A810">
        <v>899190758</v>
      </c>
      <c r="B810" t="s">
        <v>70</v>
      </c>
      <c r="C810" t="s">
        <v>17</v>
      </c>
      <c r="D810" s="1">
        <v>48577</v>
      </c>
      <c r="E810">
        <v>4088</v>
      </c>
      <c r="F810">
        <v>46</v>
      </c>
      <c r="G810" s="2">
        <v>1.1299999999999999E-2</v>
      </c>
      <c r="H810" s="2">
        <f>Table1[[#This Row],[İade Miktarı]]/Table1[[#This Row],[Satış Miktarı]]</f>
        <v>1.1252446183953033E-2</v>
      </c>
      <c r="I810" t="s">
        <v>18</v>
      </c>
      <c r="J810">
        <v>42</v>
      </c>
      <c r="K810">
        <f>Table1[[#This Row],[Satış Miktarı]]*Table1[[#This Row],[Satış Fiyatı]]</f>
        <v>171696</v>
      </c>
      <c r="L810" t="s">
        <v>19</v>
      </c>
      <c r="M810" t="s">
        <v>52</v>
      </c>
      <c r="N810" t="s">
        <v>61</v>
      </c>
      <c r="O810">
        <v>0.2</v>
      </c>
      <c r="P810" t="s">
        <v>22</v>
      </c>
      <c r="Q810" t="s">
        <v>40</v>
      </c>
    </row>
    <row r="811" spans="1:17">
      <c r="A811">
        <v>42193893</v>
      </c>
      <c r="B811" t="s">
        <v>73</v>
      </c>
      <c r="C811" t="s">
        <v>17</v>
      </c>
      <c r="D811" s="1">
        <v>47976</v>
      </c>
      <c r="E811">
        <v>4292</v>
      </c>
      <c r="F811">
        <v>20</v>
      </c>
      <c r="G811" s="2">
        <v>4.7000000000000002E-3</v>
      </c>
      <c r="H811" s="2">
        <f>Table1[[#This Row],[İade Miktarı]]/Table1[[#This Row],[Satış Miktarı]]</f>
        <v>4.6598322460391422E-3</v>
      </c>
      <c r="I811" t="s">
        <v>18</v>
      </c>
      <c r="J811">
        <v>35</v>
      </c>
      <c r="K811">
        <f>Table1[[#This Row],[Satış Miktarı]]*Table1[[#This Row],[Satış Fiyatı]]</f>
        <v>150220</v>
      </c>
      <c r="L811" t="s">
        <v>19</v>
      </c>
      <c r="M811" t="s">
        <v>55</v>
      </c>
      <c r="N811" t="s">
        <v>39</v>
      </c>
      <c r="O811">
        <v>0.2</v>
      </c>
      <c r="P811" t="s">
        <v>22</v>
      </c>
      <c r="Q811" t="s">
        <v>83</v>
      </c>
    </row>
    <row r="812" spans="1:17">
      <c r="A812">
        <v>192268277</v>
      </c>
      <c r="B812" t="s">
        <v>16</v>
      </c>
      <c r="C812" t="s">
        <v>17</v>
      </c>
      <c r="D812" s="1">
        <v>48283</v>
      </c>
      <c r="E812">
        <v>4691</v>
      </c>
      <c r="F812">
        <v>30</v>
      </c>
      <c r="G812" s="2">
        <v>6.4000000000000003E-3</v>
      </c>
      <c r="H812" s="2">
        <f>Table1[[#This Row],[İade Miktarı]]/Table1[[#This Row],[Satış Miktarı]]</f>
        <v>6.3952248987422721E-3</v>
      </c>
      <c r="I812" t="s">
        <v>18</v>
      </c>
      <c r="J812">
        <v>32</v>
      </c>
      <c r="K812">
        <f>Table1[[#This Row],[Satış Miktarı]]*Table1[[#This Row],[Satış Fiyatı]]</f>
        <v>150112</v>
      </c>
      <c r="L812" t="s">
        <v>19</v>
      </c>
      <c r="M812" t="s">
        <v>58</v>
      </c>
      <c r="N812" t="s">
        <v>76</v>
      </c>
      <c r="O812">
        <v>0.2</v>
      </c>
      <c r="P812" t="s">
        <v>22</v>
      </c>
      <c r="Q812" t="s">
        <v>66</v>
      </c>
    </row>
    <row r="813" spans="1:17">
      <c r="A813">
        <v>554636944</v>
      </c>
      <c r="B813" t="s">
        <v>24</v>
      </c>
      <c r="C813" t="s">
        <v>17</v>
      </c>
      <c r="D813" s="1">
        <v>47906</v>
      </c>
      <c r="E813">
        <v>4563</v>
      </c>
      <c r="F813">
        <v>36</v>
      </c>
      <c r="G813" s="2">
        <v>7.9000000000000008E-3</v>
      </c>
      <c r="H813" s="2">
        <f>Table1[[#This Row],[İade Miktarı]]/Table1[[#This Row],[Satış Miktarı]]</f>
        <v>7.889546351084813E-3</v>
      </c>
      <c r="I813" t="s">
        <v>18</v>
      </c>
      <c r="J813">
        <v>37</v>
      </c>
      <c r="K813">
        <f>Table1[[#This Row],[Satış Miktarı]]*Table1[[#This Row],[Satış Fiyatı]]</f>
        <v>168831</v>
      </c>
      <c r="L813" t="s">
        <v>19</v>
      </c>
      <c r="M813" t="s">
        <v>60</v>
      </c>
      <c r="N813" t="s">
        <v>78</v>
      </c>
      <c r="O813">
        <v>0.2</v>
      </c>
      <c r="P813" t="s">
        <v>27</v>
      </c>
      <c r="Q813" t="s">
        <v>48</v>
      </c>
    </row>
    <row r="814" spans="1:17">
      <c r="A814">
        <v>350065017</v>
      </c>
      <c r="B814" t="s">
        <v>29</v>
      </c>
      <c r="C814" t="s">
        <v>17</v>
      </c>
      <c r="D814" s="1">
        <v>48501</v>
      </c>
      <c r="E814">
        <v>1264</v>
      </c>
      <c r="F814">
        <v>48</v>
      </c>
      <c r="G814" s="2">
        <v>3.7999999999999999E-2</v>
      </c>
      <c r="H814" s="2">
        <f>Table1[[#This Row],[İade Miktarı]]/Table1[[#This Row],[Satış Miktarı]]</f>
        <v>3.7974683544303799E-2</v>
      </c>
      <c r="I814" t="s">
        <v>18</v>
      </c>
      <c r="J814">
        <v>46</v>
      </c>
      <c r="K814">
        <f>Table1[[#This Row],[Satış Miktarı]]*Table1[[#This Row],[Satış Fiyatı]]</f>
        <v>58144</v>
      </c>
      <c r="L814" t="s">
        <v>19</v>
      </c>
      <c r="M814" t="s">
        <v>64</v>
      </c>
      <c r="N814" t="s">
        <v>39</v>
      </c>
      <c r="O814">
        <v>0.2</v>
      </c>
      <c r="P814" t="s">
        <v>22</v>
      </c>
      <c r="Q814" t="s">
        <v>79</v>
      </c>
    </row>
    <row r="815" spans="1:17">
      <c r="A815">
        <v>397999137</v>
      </c>
      <c r="B815" t="s">
        <v>33</v>
      </c>
      <c r="C815" t="s">
        <v>34</v>
      </c>
      <c r="D815" s="1">
        <v>48037</v>
      </c>
      <c r="E815">
        <v>4691</v>
      </c>
      <c r="F815">
        <v>48</v>
      </c>
      <c r="G815" s="2">
        <v>1.0200000000000001E-2</v>
      </c>
      <c r="H815" s="2">
        <f>Table1[[#This Row],[İade Miktarı]]/Table1[[#This Row],[Satış Miktarı]]</f>
        <v>1.0232359837987636E-2</v>
      </c>
      <c r="I815" t="s">
        <v>18</v>
      </c>
      <c r="J815">
        <v>30</v>
      </c>
      <c r="K815">
        <f>Table1[[#This Row],[Satış Miktarı]]*Table1[[#This Row],[Satış Fiyatı]]</f>
        <v>140730</v>
      </c>
      <c r="L815" t="s">
        <v>19</v>
      </c>
      <c r="M815" t="s">
        <v>68</v>
      </c>
      <c r="N815" t="s">
        <v>76</v>
      </c>
      <c r="O815">
        <v>0.2</v>
      </c>
      <c r="P815" t="s">
        <v>22</v>
      </c>
      <c r="Q815" t="s">
        <v>72</v>
      </c>
    </row>
    <row r="816" spans="1:17">
      <c r="A816">
        <v>697113239</v>
      </c>
      <c r="B816" t="s">
        <v>37</v>
      </c>
      <c r="C816" t="s">
        <v>34</v>
      </c>
      <c r="D816" s="1">
        <v>47729</v>
      </c>
      <c r="E816">
        <v>1363</v>
      </c>
      <c r="F816">
        <v>49</v>
      </c>
      <c r="G816" s="2">
        <v>3.5999999999999997E-2</v>
      </c>
      <c r="H816" s="2">
        <f>Table1[[#This Row],[İade Miktarı]]/Table1[[#This Row],[Satış Miktarı]]</f>
        <v>3.5950110051357301E-2</v>
      </c>
      <c r="I816" t="s">
        <v>18</v>
      </c>
      <c r="J816">
        <v>40</v>
      </c>
      <c r="K816">
        <f>Table1[[#This Row],[Satış Miktarı]]*Table1[[#This Row],[Satış Fiyatı]]</f>
        <v>54520</v>
      </c>
      <c r="L816" t="s">
        <v>19</v>
      </c>
      <c r="M816" t="s">
        <v>71</v>
      </c>
      <c r="N816" t="s">
        <v>76</v>
      </c>
      <c r="O816">
        <v>0.2</v>
      </c>
      <c r="P816" t="s">
        <v>27</v>
      </c>
      <c r="Q816" t="s">
        <v>84</v>
      </c>
    </row>
    <row r="817" spans="1:17">
      <c r="A817">
        <v>655049559</v>
      </c>
      <c r="B817" t="s">
        <v>41</v>
      </c>
      <c r="C817" t="s">
        <v>17</v>
      </c>
      <c r="D817" s="1">
        <v>48012</v>
      </c>
      <c r="E817">
        <v>1696</v>
      </c>
      <c r="F817">
        <v>45</v>
      </c>
      <c r="G817" s="2">
        <v>2.6499999999999999E-2</v>
      </c>
      <c r="H817" s="2">
        <f>Table1[[#This Row],[İade Miktarı]]/Table1[[#This Row],[Satış Miktarı]]</f>
        <v>2.6533018867924529E-2</v>
      </c>
      <c r="I817" t="s">
        <v>18</v>
      </c>
      <c r="J817">
        <v>34</v>
      </c>
      <c r="K817">
        <f>Table1[[#This Row],[Satış Miktarı]]*Table1[[#This Row],[Satış Fiyatı]]</f>
        <v>57664</v>
      </c>
      <c r="L817" t="s">
        <v>19</v>
      </c>
      <c r="M817" t="s">
        <v>74</v>
      </c>
      <c r="N817" t="s">
        <v>76</v>
      </c>
      <c r="O817">
        <v>0.2</v>
      </c>
      <c r="P817" t="s">
        <v>27</v>
      </c>
      <c r="Q817" t="s">
        <v>83</v>
      </c>
    </row>
    <row r="818" spans="1:17">
      <c r="A818">
        <v>742467981</v>
      </c>
      <c r="B818" t="s">
        <v>44</v>
      </c>
      <c r="C818" t="s">
        <v>17</v>
      </c>
      <c r="D818" s="1">
        <v>48442</v>
      </c>
      <c r="E818">
        <v>3066</v>
      </c>
      <c r="F818">
        <v>40</v>
      </c>
      <c r="G818" s="2">
        <v>1.2999999999999999E-2</v>
      </c>
      <c r="H818" s="2">
        <f>Table1[[#This Row],[İade Miktarı]]/Table1[[#This Row],[Satış Miktarı]]</f>
        <v>1.3046314416177429E-2</v>
      </c>
      <c r="I818" t="s">
        <v>18</v>
      </c>
      <c r="J818">
        <v>43</v>
      </c>
      <c r="K818">
        <f>Table1[[#This Row],[Satış Miktarı]]*Table1[[#This Row],[Satış Fiyatı]]</f>
        <v>131838</v>
      </c>
      <c r="L818" t="s">
        <v>19</v>
      </c>
      <c r="M818" t="s">
        <v>20</v>
      </c>
      <c r="N818" t="s">
        <v>65</v>
      </c>
      <c r="O818">
        <v>0.2</v>
      </c>
      <c r="P818" t="s">
        <v>27</v>
      </c>
      <c r="Q818" t="s">
        <v>69</v>
      </c>
    </row>
    <row r="819" spans="1:17">
      <c r="A819">
        <v>793059344</v>
      </c>
      <c r="B819" t="s">
        <v>49</v>
      </c>
      <c r="C819" t="s">
        <v>34</v>
      </c>
      <c r="D819" s="1">
        <v>48406</v>
      </c>
      <c r="E819">
        <v>3383</v>
      </c>
      <c r="F819">
        <v>46</v>
      </c>
      <c r="G819" s="2">
        <v>1.3599999999999999E-2</v>
      </c>
      <c r="H819" s="2">
        <f>Table1[[#This Row],[İade Miktarı]]/Table1[[#This Row],[Satış Miktarı]]</f>
        <v>1.3597398758498374E-2</v>
      </c>
      <c r="I819" t="s">
        <v>18</v>
      </c>
      <c r="J819">
        <v>32</v>
      </c>
      <c r="K819">
        <f>Table1[[#This Row],[Satış Miktarı]]*Table1[[#This Row],[Satış Fiyatı]]</f>
        <v>108256</v>
      </c>
      <c r="L819" t="s">
        <v>19</v>
      </c>
      <c r="M819" t="s">
        <v>25</v>
      </c>
      <c r="N819" t="s">
        <v>39</v>
      </c>
      <c r="O819">
        <v>0.2</v>
      </c>
      <c r="P819" t="s">
        <v>27</v>
      </c>
      <c r="Q819" t="s">
        <v>40</v>
      </c>
    </row>
    <row r="820" spans="1:17">
      <c r="A820">
        <v>914887627</v>
      </c>
      <c r="B820" t="s">
        <v>51</v>
      </c>
      <c r="C820" t="s">
        <v>17</v>
      </c>
      <c r="D820" s="1">
        <v>47914</v>
      </c>
      <c r="E820">
        <v>3080</v>
      </c>
      <c r="F820">
        <v>11</v>
      </c>
      <c r="G820" s="2">
        <v>3.5999999999999999E-3</v>
      </c>
      <c r="H820" s="2">
        <f>Table1[[#This Row],[İade Miktarı]]/Table1[[#This Row],[Satış Miktarı]]</f>
        <v>3.5714285714285713E-3</v>
      </c>
      <c r="I820" t="s">
        <v>18</v>
      </c>
      <c r="J820">
        <v>40</v>
      </c>
      <c r="K820">
        <f>Table1[[#This Row],[Satış Miktarı]]*Table1[[#This Row],[Satış Fiyatı]]</f>
        <v>123200</v>
      </c>
      <c r="L820" t="s">
        <v>19</v>
      </c>
      <c r="M820" t="s">
        <v>30</v>
      </c>
      <c r="N820" t="s">
        <v>43</v>
      </c>
      <c r="O820">
        <v>0.2</v>
      </c>
      <c r="P820" t="s">
        <v>27</v>
      </c>
      <c r="Q820" t="s">
        <v>66</v>
      </c>
    </row>
    <row r="821" spans="1:17">
      <c r="A821">
        <v>681593791</v>
      </c>
      <c r="B821" t="s">
        <v>54</v>
      </c>
      <c r="C821" t="s">
        <v>34</v>
      </c>
      <c r="D821" s="1">
        <v>47858</v>
      </c>
      <c r="E821">
        <v>4514</v>
      </c>
      <c r="F821">
        <v>36</v>
      </c>
      <c r="G821" s="2">
        <v>8.0000000000000002E-3</v>
      </c>
      <c r="H821" s="2">
        <f>Table1[[#This Row],[İade Miktarı]]/Table1[[#This Row],[Satış Miktarı]]</f>
        <v>7.9751883030571551E-3</v>
      </c>
      <c r="I821" t="s">
        <v>18</v>
      </c>
      <c r="J821">
        <v>23</v>
      </c>
      <c r="K821">
        <f>Table1[[#This Row],[Satış Miktarı]]*Table1[[#This Row],[Satış Fiyatı]]</f>
        <v>103822</v>
      </c>
      <c r="L821" t="s">
        <v>19</v>
      </c>
      <c r="M821" t="s">
        <v>35</v>
      </c>
      <c r="N821" t="s">
        <v>21</v>
      </c>
      <c r="O821">
        <v>0.2</v>
      </c>
      <c r="P821" t="s">
        <v>27</v>
      </c>
      <c r="Q821" t="s">
        <v>79</v>
      </c>
    </row>
    <row r="822" spans="1:17">
      <c r="A822">
        <v>82011191</v>
      </c>
      <c r="B822" t="s">
        <v>57</v>
      </c>
      <c r="C822" t="s">
        <v>34</v>
      </c>
      <c r="D822" s="1">
        <v>47605</v>
      </c>
      <c r="E822">
        <v>2478</v>
      </c>
      <c r="F822">
        <v>22</v>
      </c>
      <c r="G822" s="2">
        <v>8.8999999999999999E-3</v>
      </c>
      <c r="H822" s="2">
        <f>Table1[[#This Row],[İade Miktarı]]/Table1[[#This Row],[Satış Miktarı]]</f>
        <v>8.8781275221953195E-3</v>
      </c>
      <c r="I822" t="s">
        <v>18</v>
      </c>
      <c r="J822">
        <v>30</v>
      </c>
      <c r="K822">
        <f>Table1[[#This Row],[Satış Miktarı]]*Table1[[#This Row],[Satış Fiyatı]]</f>
        <v>74340</v>
      </c>
      <c r="L822" t="s">
        <v>19</v>
      </c>
      <c r="M822" t="s">
        <v>38</v>
      </c>
      <c r="N822" t="s">
        <v>26</v>
      </c>
      <c r="O822">
        <v>0.2</v>
      </c>
      <c r="P822" t="s">
        <v>22</v>
      </c>
      <c r="Q822" t="s">
        <v>23</v>
      </c>
    </row>
    <row r="823" spans="1:17">
      <c r="A823">
        <v>787236854</v>
      </c>
      <c r="B823" t="s">
        <v>59</v>
      </c>
      <c r="C823" t="s">
        <v>17</v>
      </c>
      <c r="D823" s="1">
        <v>47665</v>
      </c>
      <c r="E823">
        <v>2953</v>
      </c>
      <c r="F823">
        <v>10</v>
      </c>
      <c r="G823" s="2">
        <v>3.3999999999999998E-3</v>
      </c>
      <c r="H823" s="2">
        <f>Table1[[#This Row],[İade Miktarı]]/Table1[[#This Row],[Satış Miktarı]]</f>
        <v>3.3863867253640365E-3</v>
      </c>
      <c r="I823" t="s">
        <v>18</v>
      </c>
      <c r="J823">
        <v>21</v>
      </c>
      <c r="K823">
        <f>Table1[[#This Row],[Satış Miktarı]]*Table1[[#This Row],[Satış Fiyatı]]</f>
        <v>62013</v>
      </c>
      <c r="L823" t="s">
        <v>19</v>
      </c>
      <c r="M823" t="s">
        <v>42</v>
      </c>
      <c r="N823" t="s">
        <v>61</v>
      </c>
      <c r="O823">
        <v>0.2</v>
      </c>
      <c r="P823" t="s">
        <v>22</v>
      </c>
      <c r="Q823" t="s">
        <v>36</v>
      </c>
    </row>
    <row r="824" spans="1:17">
      <c r="A824">
        <v>306538260</v>
      </c>
      <c r="B824" t="s">
        <v>63</v>
      </c>
      <c r="C824" t="s">
        <v>17</v>
      </c>
      <c r="D824" s="1">
        <v>48492</v>
      </c>
      <c r="E824">
        <v>3355</v>
      </c>
      <c r="F824">
        <v>35</v>
      </c>
      <c r="G824" s="2">
        <v>1.04E-2</v>
      </c>
      <c r="H824" s="2">
        <f>Table1[[#This Row],[İade Miktarı]]/Table1[[#This Row],[Satış Miktarı]]</f>
        <v>1.0432190760059613E-2</v>
      </c>
      <c r="I824" t="s">
        <v>18</v>
      </c>
      <c r="J824">
        <v>32</v>
      </c>
      <c r="K824">
        <f>Table1[[#This Row],[Satış Miktarı]]*Table1[[#This Row],[Satış Fiyatı]]</f>
        <v>107360</v>
      </c>
      <c r="L824" t="s">
        <v>19</v>
      </c>
      <c r="M824" t="s">
        <v>46</v>
      </c>
      <c r="N824" t="s">
        <v>43</v>
      </c>
      <c r="O824">
        <v>0.2</v>
      </c>
      <c r="P824" t="s">
        <v>22</v>
      </c>
      <c r="Q824" t="s">
        <v>36</v>
      </c>
    </row>
    <row r="825" spans="1:17">
      <c r="A825">
        <v>269398085</v>
      </c>
      <c r="B825" t="s">
        <v>67</v>
      </c>
      <c r="C825" t="s">
        <v>17</v>
      </c>
      <c r="D825" s="1">
        <v>47994</v>
      </c>
      <c r="E825">
        <v>2331</v>
      </c>
      <c r="F825">
        <v>30</v>
      </c>
      <c r="G825" s="2">
        <v>1.29E-2</v>
      </c>
      <c r="H825" s="2">
        <f>Table1[[#This Row],[İade Miktarı]]/Table1[[#This Row],[Satış Miktarı]]</f>
        <v>1.2870012870012869E-2</v>
      </c>
      <c r="I825" t="s">
        <v>18</v>
      </c>
      <c r="J825">
        <v>31</v>
      </c>
      <c r="K825">
        <f>Table1[[#This Row],[Satış Miktarı]]*Table1[[#This Row],[Satış Fiyatı]]</f>
        <v>72261</v>
      </c>
      <c r="L825" t="s">
        <v>19</v>
      </c>
      <c r="M825" t="s">
        <v>46</v>
      </c>
      <c r="N825" t="s">
        <v>65</v>
      </c>
      <c r="O825">
        <v>0.2</v>
      </c>
      <c r="P825" t="s">
        <v>22</v>
      </c>
      <c r="Q825" t="s">
        <v>79</v>
      </c>
    </row>
    <row r="826" spans="1:17">
      <c r="A826">
        <v>253910514</v>
      </c>
      <c r="B826" t="s">
        <v>70</v>
      </c>
      <c r="C826" t="s">
        <v>17</v>
      </c>
      <c r="D826" s="1">
        <v>47715</v>
      </c>
      <c r="E826">
        <v>4726</v>
      </c>
      <c r="F826">
        <v>19</v>
      </c>
      <c r="G826" s="2">
        <v>4.0000000000000001E-3</v>
      </c>
      <c r="H826" s="2">
        <f>Table1[[#This Row],[İade Miktarı]]/Table1[[#This Row],[Satış Miktarı]]</f>
        <v>4.0203131612357177E-3</v>
      </c>
      <c r="I826" t="s">
        <v>18</v>
      </c>
      <c r="J826">
        <v>42</v>
      </c>
      <c r="K826">
        <f>Table1[[#This Row],[Satış Miktarı]]*Table1[[#This Row],[Satış Fiyatı]]</f>
        <v>198492</v>
      </c>
      <c r="L826" t="s">
        <v>19</v>
      </c>
      <c r="M826" t="s">
        <v>52</v>
      </c>
      <c r="N826" t="s">
        <v>21</v>
      </c>
      <c r="O826">
        <v>0.2</v>
      </c>
      <c r="P826" t="s">
        <v>22</v>
      </c>
      <c r="Q826" t="s">
        <v>36</v>
      </c>
    </row>
    <row r="827" spans="1:17">
      <c r="A827">
        <v>596998914</v>
      </c>
      <c r="B827" t="s">
        <v>73</v>
      </c>
      <c r="C827" t="s">
        <v>17</v>
      </c>
      <c r="D827" s="1">
        <v>48135</v>
      </c>
      <c r="E827">
        <v>1355</v>
      </c>
      <c r="F827">
        <v>22</v>
      </c>
      <c r="G827" s="2">
        <v>1.6199999999999999E-2</v>
      </c>
      <c r="H827" s="2">
        <f>Table1[[#This Row],[İade Miktarı]]/Table1[[#This Row],[Satış Miktarı]]</f>
        <v>1.6236162361623615E-2</v>
      </c>
      <c r="I827" t="s">
        <v>18</v>
      </c>
      <c r="J827">
        <v>34</v>
      </c>
      <c r="K827">
        <f>Table1[[#This Row],[Satış Miktarı]]*Table1[[#This Row],[Satış Fiyatı]]</f>
        <v>46070</v>
      </c>
      <c r="L827" t="s">
        <v>19</v>
      </c>
      <c r="M827" t="s">
        <v>55</v>
      </c>
      <c r="N827" t="s">
        <v>65</v>
      </c>
      <c r="O827">
        <v>0.2</v>
      </c>
      <c r="P827" t="s">
        <v>27</v>
      </c>
      <c r="Q827" t="s">
        <v>23</v>
      </c>
    </row>
    <row r="828" spans="1:17">
      <c r="A828">
        <v>71685646</v>
      </c>
      <c r="B828" t="s">
        <v>16</v>
      </c>
      <c r="C828" t="s">
        <v>17</v>
      </c>
      <c r="D828" s="1">
        <v>48521</v>
      </c>
      <c r="E828">
        <v>3433</v>
      </c>
      <c r="F828">
        <v>30</v>
      </c>
      <c r="G828" s="2">
        <v>8.6999999999999994E-3</v>
      </c>
      <c r="H828" s="2">
        <f>Table1[[#This Row],[İade Miktarı]]/Table1[[#This Row],[Satış Miktarı]]</f>
        <v>8.7387124963588698E-3</v>
      </c>
      <c r="I828" t="s">
        <v>18</v>
      </c>
      <c r="J828">
        <v>34</v>
      </c>
      <c r="K828">
        <f>Table1[[#This Row],[Satış Miktarı]]*Table1[[#This Row],[Satış Fiyatı]]</f>
        <v>116722</v>
      </c>
      <c r="L828" t="s">
        <v>19</v>
      </c>
      <c r="M828" t="s">
        <v>58</v>
      </c>
      <c r="N828" t="s">
        <v>78</v>
      </c>
      <c r="O828">
        <v>0.2</v>
      </c>
      <c r="P828" t="s">
        <v>27</v>
      </c>
      <c r="Q828" t="s">
        <v>72</v>
      </c>
    </row>
    <row r="829" spans="1:17">
      <c r="A829">
        <v>408339503</v>
      </c>
      <c r="B829" t="s">
        <v>24</v>
      </c>
      <c r="C829" t="s">
        <v>17</v>
      </c>
      <c r="D829" s="1">
        <v>47716</v>
      </c>
      <c r="E829">
        <v>4069</v>
      </c>
      <c r="F829">
        <v>39</v>
      </c>
      <c r="G829" s="2">
        <v>9.5999999999999992E-3</v>
      </c>
      <c r="H829" s="2">
        <f>Table1[[#This Row],[İade Miktarı]]/Table1[[#This Row],[Satış Miktarı]]</f>
        <v>9.5846645367412137E-3</v>
      </c>
      <c r="I829" t="s">
        <v>18</v>
      </c>
      <c r="J829">
        <v>50</v>
      </c>
      <c r="K829">
        <f>Table1[[#This Row],[Satış Miktarı]]*Table1[[#This Row],[Satış Fiyatı]]</f>
        <v>203450</v>
      </c>
      <c r="L829" t="s">
        <v>19</v>
      </c>
      <c r="M829" t="s">
        <v>60</v>
      </c>
      <c r="N829" t="s">
        <v>50</v>
      </c>
      <c r="O829">
        <v>0.2</v>
      </c>
      <c r="P829" t="s">
        <v>27</v>
      </c>
      <c r="Q829" t="s">
        <v>72</v>
      </c>
    </row>
    <row r="830" spans="1:17">
      <c r="A830">
        <v>754532655</v>
      </c>
      <c r="B830" t="s">
        <v>29</v>
      </c>
      <c r="C830" t="s">
        <v>17</v>
      </c>
      <c r="D830" s="1">
        <v>48114</v>
      </c>
      <c r="E830">
        <v>4117</v>
      </c>
      <c r="F830">
        <v>46</v>
      </c>
      <c r="G830" s="2">
        <v>1.12E-2</v>
      </c>
      <c r="H830" s="2">
        <f>Table1[[#This Row],[İade Miktarı]]/Table1[[#This Row],[Satış Miktarı]]</f>
        <v>1.11731843575419E-2</v>
      </c>
      <c r="I830" t="s">
        <v>18</v>
      </c>
      <c r="J830">
        <v>41</v>
      </c>
      <c r="K830">
        <f>Table1[[#This Row],[Satış Miktarı]]*Table1[[#This Row],[Satış Fiyatı]]</f>
        <v>168797</v>
      </c>
      <c r="L830" t="s">
        <v>19</v>
      </c>
      <c r="M830" t="s">
        <v>64</v>
      </c>
      <c r="N830" t="s">
        <v>47</v>
      </c>
      <c r="O830">
        <v>0.2</v>
      </c>
      <c r="P830" t="s">
        <v>27</v>
      </c>
      <c r="Q830" t="s">
        <v>53</v>
      </c>
    </row>
    <row r="831" spans="1:17">
      <c r="A831">
        <v>463381864</v>
      </c>
      <c r="B831" t="s">
        <v>33</v>
      </c>
      <c r="C831" t="s">
        <v>34</v>
      </c>
      <c r="D831" s="1">
        <v>47849</v>
      </c>
      <c r="E831">
        <v>4759</v>
      </c>
      <c r="F831">
        <v>34</v>
      </c>
      <c r="G831" s="2">
        <v>7.1000000000000004E-3</v>
      </c>
      <c r="H831" s="2">
        <f>Table1[[#This Row],[İade Miktarı]]/Table1[[#This Row],[Satış Miktarı]]</f>
        <v>7.1443580584156334E-3</v>
      </c>
      <c r="I831" t="s">
        <v>18</v>
      </c>
      <c r="J831">
        <v>45</v>
      </c>
      <c r="K831">
        <f>Table1[[#This Row],[Satış Miktarı]]*Table1[[#This Row],[Satış Fiyatı]]</f>
        <v>214155</v>
      </c>
      <c r="L831" t="s">
        <v>19</v>
      </c>
      <c r="M831" t="s">
        <v>68</v>
      </c>
      <c r="N831" t="s">
        <v>78</v>
      </c>
      <c r="O831">
        <v>0.2</v>
      </c>
      <c r="P831" t="s">
        <v>22</v>
      </c>
      <c r="Q831" t="s">
        <v>56</v>
      </c>
    </row>
    <row r="832" spans="1:17">
      <c r="A832">
        <v>781204404</v>
      </c>
      <c r="B832" t="s">
        <v>37</v>
      </c>
      <c r="C832" t="s">
        <v>34</v>
      </c>
      <c r="D832" s="1">
        <v>48432</v>
      </c>
      <c r="E832">
        <v>2213</v>
      </c>
      <c r="F832">
        <v>11</v>
      </c>
      <c r="G832" s="2">
        <v>5.0000000000000001E-3</v>
      </c>
      <c r="H832" s="2">
        <f>Table1[[#This Row],[İade Miktarı]]/Table1[[#This Row],[Satış Miktarı]]</f>
        <v>4.9706281066425667E-3</v>
      </c>
      <c r="I832" t="s">
        <v>18</v>
      </c>
      <c r="J832">
        <v>34</v>
      </c>
      <c r="K832">
        <f>Table1[[#This Row],[Satış Miktarı]]*Table1[[#This Row],[Satış Fiyatı]]</f>
        <v>75242</v>
      </c>
      <c r="L832" t="s">
        <v>19</v>
      </c>
      <c r="M832" t="s">
        <v>71</v>
      </c>
      <c r="N832" t="s">
        <v>31</v>
      </c>
      <c r="O832">
        <v>0.2</v>
      </c>
      <c r="P832" t="s">
        <v>22</v>
      </c>
      <c r="Q832" t="s">
        <v>83</v>
      </c>
    </row>
    <row r="833" spans="1:17">
      <c r="A833">
        <v>332222128</v>
      </c>
      <c r="B833" t="s">
        <v>41</v>
      </c>
      <c r="C833" t="s">
        <v>17</v>
      </c>
      <c r="D833" s="1">
        <v>48391</v>
      </c>
      <c r="E833">
        <v>1913</v>
      </c>
      <c r="F833">
        <v>39</v>
      </c>
      <c r="G833" s="2">
        <v>2.0400000000000001E-2</v>
      </c>
      <c r="H833" s="2">
        <f>Table1[[#This Row],[İade Miktarı]]/Table1[[#This Row],[Satış Miktarı]]</f>
        <v>2.0386826973340304E-2</v>
      </c>
      <c r="I833" t="s">
        <v>45</v>
      </c>
      <c r="J833">
        <v>27</v>
      </c>
      <c r="K833">
        <f>Table1[[#This Row],[Satış Miktarı]]*Table1[[#This Row],[Satış Fiyatı]]</f>
        <v>51651</v>
      </c>
      <c r="L833" t="s">
        <v>19</v>
      </c>
      <c r="M833" t="s">
        <v>74</v>
      </c>
      <c r="N833" t="s">
        <v>21</v>
      </c>
      <c r="O833">
        <v>0.2</v>
      </c>
      <c r="P833" t="s">
        <v>22</v>
      </c>
      <c r="Q833" t="s">
        <v>28</v>
      </c>
    </row>
    <row r="834" spans="1:17">
      <c r="A834">
        <v>811539784</v>
      </c>
      <c r="B834" t="s">
        <v>44</v>
      </c>
      <c r="C834" t="s">
        <v>17</v>
      </c>
      <c r="D834" s="1">
        <v>47495</v>
      </c>
      <c r="E834">
        <v>3736</v>
      </c>
      <c r="F834">
        <v>44</v>
      </c>
      <c r="G834" s="2">
        <v>1.18E-2</v>
      </c>
      <c r="H834" s="2">
        <f>Table1[[#This Row],[İade Miktarı]]/Table1[[#This Row],[Satış Miktarı]]</f>
        <v>1.1777301927194861E-2</v>
      </c>
      <c r="I834" t="s">
        <v>18</v>
      </c>
      <c r="J834">
        <v>34</v>
      </c>
      <c r="K834">
        <f>Table1[[#This Row],[Satış Miktarı]]*Table1[[#This Row],[Satış Fiyatı]]</f>
        <v>127024</v>
      </c>
      <c r="L834" t="s">
        <v>19</v>
      </c>
      <c r="M834" t="s">
        <v>20</v>
      </c>
      <c r="N834" t="s">
        <v>65</v>
      </c>
      <c r="O834">
        <v>0.2</v>
      </c>
      <c r="P834" t="s">
        <v>27</v>
      </c>
      <c r="Q834" t="s">
        <v>84</v>
      </c>
    </row>
    <row r="835" spans="1:17">
      <c r="A835">
        <v>129955813</v>
      </c>
      <c r="B835" t="s">
        <v>49</v>
      </c>
      <c r="C835" t="s">
        <v>34</v>
      </c>
      <c r="D835" s="1">
        <v>48416</v>
      </c>
      <c r="E835">
        <v>1000</v>
      </c>
      <c r="F835">
        <v>25</v>
      </c>
      <c r="G835" s="2">
        <v>2.5000000000000001E-2</v>
      </c>
      <c r="H835" s="2">
        <f>Table1[[#This Row],[İade Miktarı]]/Table1[[#This Row],[Satış Miktarı]]</f>
        <v>2.5000000000000001E-2</v>
      </c>
      <c r="I835" t="s">
        <v>18</v>
      </c>
      <c r="J835">
        <v>37</v>
      </c>
      <c r="K835">
        <f>Table1[[#This Row],[Satış Miktarı]]*Table1[[#This Row],[Satış Fiyatı]]</f>
        <v>37000</v>
      </c>
      <c r="L835" t="s">
        <v>19</v>
      </c>
      <c r="M835" t="s">
        <v>25</v>
      </c>
      <c r="N835" t="s">
        <v>39</v>
      </c>
      <c r="O835">
        <v>0.2</v>
      </c>
      <c r="P835" t="s">
        <v>27</v>
      </c>
      <c r="Q835" t="s">
        <v>66</v>
      </c>
    </row>
    <row r="836" spans="1:17">
      <c r="A836">
        <v>761978961</v>
      </c>
      <c r="B836" t="s">
        <v>51</v>
      </c>
      <c r="C836" t="s">
        <v>17</v>
      </c>
      <c r="D836" s="1">
        <v>47982</v>
      </c>
      <c r="E836">
        <v>1365</v>
      </c>
      <c r="F836">
        <v>27</v>
      </c>
      <c r="G836" s="2">
        <v>1.9800000000000002E-2</v>
      </c>
      <c r="H836" s="2">
        <f>Table1[[#This Row],[İade Miktarı]]/Table1[[#This Row],[Satış Miktarı]]</f>
        <v>1.9780219780219779E-2</v>
      </c>
      <c r="I836" t="s">
        <v>18</v>
      </c>
      <c r="J836">
        <v>47</v>
      </c>
      <c r="K836">
        <f>Table1[[#This Row],[Satış Miktarı]]*Table1[[#This Row],[Satış Fiyatı]]</f>
        <v>64155</v>
      </c>
      <c r="L836" t="s">
        <v>19</v>
      </c>
      <c r="M836" t="s">
        <v>30</v>
      </c>
      <c r="N836" t="s">
        <v>76</v>
      </c>
      <c r="O836">
        <v>0.2</v>
      </c>
      <c r="P836" t="s">
        <v>27</v>
      </c>
      <c r="Q836" t="s">
        <v>28</v>
      </c>
    </row>
    <row r="837" spans="1:17">
      <c r="A837">
        <v>75064051</v>
      </c>
      <c r="B837" t="s">
        <v>54</v>
      </c>
      <c r="C837" t="s">
        <v>34</v>
      </c>
      <c r="D837" s="1">
        <v>47682</v>
      </c>
      <c r="E837">
        <v>3965</v>
      </c>
      <c r="F837">
        <v>19</v>
      </c>
      <c r="G837" s="2">
        <v>4.7999999999999996E-3</v>
      </c>
      <c r="H837" s="2">
        <f>Table1[[#This Row],[İade Miktarı]]/Table1[[#This Row],[Satış Miktarı]]</f>
        <v>4.7919293820933165E-3</v>
      </c>
      <c r="I837" t="s">
        <v>18</v>
      </c>
      <c r="J837">
        <v>49</v>
      </c>
      <c r="K837">
        <f>Table1[[#This Row],[Satış Miktarı]]*Table1[[#This Row],[Satış Fiyatı]]</f>
        <v>194285</v>
      </c>
      <c r="L837" t="s">
        <v>19</v>
      </c>
      <c r="M837" t="s">
        <v>35</v>
      </c>
      <c r="N837" t="s">
        <v>31</v>
      </c>
      <c r="O837">
        <v>0.2</v>
      </c>
      <c r="P837" t="s">
        <v>22</v>
      </c>
      <c r="Q837" t="s">
        <v>79</v>
      </c>
    </row>
    <row r="838" spans="1:17">
      <c r="A838">
        <v>967105045</v>
      </c>
      <c r="B838" t="s">
        <v>57</v>
      </c>
      <c r="C838" t="s">
        <v>34</v>
      </c>
      <c r="D838" s="1">
        <v>48307</v>
      </c>
      <c r="E838">
        <v>3570</v>
      </c>
      <c r="F838">
        <v>18</v>
      </c>
      <c r="G838" s="2">
        <v>5.0000000000000001E-3</v>
      </c>
      <c r="H838" s="2">
        <f>Table1[[#This Row],[İade Miktarı]]/Table1[[#This Row],[Satış Miktarı]]</f>
        <v>5.0420168067226894E-3</v>
      </c>
      <c r="I838" t="s">
        <v>18</v>
      </c>
      <c r="J838">
        <v>23</v>
      </c>
      <c r="K838">
        <f>Table1[[#This Row],[Satış Miktarı]]*Table1[[#This Row],[Satış Fiyatı]]</f>
        <v>82110</v>
      </c>
      <c r="L838" t="s">
        <v>19</v>
      </c>
      <c r="M838" t="s">
        <v>38</v>
      </c>
      <c r="N838" t="s">
        <v>65</v>
      </c>
      <c r="O838">
        <v>0.2</v>
      </c>
      <c r="P838" t="s">
        <v>27</v>
      </c>
      <c r="Q838" t="s">
        <v>84</v>
      </c>
    </row>
    <row r="839" spans="1:17">
      <c r="A839">
        <v>204326200</v>
      </c>
      <c r="B839" t="s">
        <v>59</v>
      </c>
      <c r="C839" t="s">
        <v>17</v>
      </c>
      <c r="D839" s="1">
        <v>47765</v>
      </c>
      <c r="E839">
        <v>2744</v>
      </c>
      <c r="F839">
        <v>37</v>
      </c>
      <c r="G839" s="2">
        <v>1.35E-2</v>
      </c>
      <c r="H839" s="2">
        <f>Table1[[#This Row],[İade Miktarı]]/Table1[[#This Row],[Satış Miktarı]]</f>
        <v>1.348396501457726E-2</v>
      </c>
      <c r="I839" t="s">
        <v>18</v>
      </c>
      <c r="J839">
        <v>31</v>
      </c>
      <c r="K839">
        <f>Table1[[#This Row],[Satış Miktarı]]*Table1[[#This Row],[Satış Fiyatı]]</f>
        <v>85064</v>
      </c>
      <c r="L839" t="s">
        <v>19</v>
      </c>
      <c r="M839" t="s">
        <v>42</v>
      </c>
      <c r="N839" t="s">
        <v>47</v>
      </c>
      <c r="O839">
        <v>0.2</v>
      </c>
      <c r="P839" t="s">
        <v>22</v>
      </c>
      <c r="Q839" t="s">
        <v>82</v>
      </c>
    </row>
    <row r="840" spans="1:17">
      <c r="A840">
        <v>753235748</v>
      </c>
      <c r="B840" t="s">
        <v>63</v>
      </c>
      <c r="C840" t="s">
        <v>17</v>
      </c>
      <c r="D840" s="1">
        <v>47768</v>
      </c>
      <c r="E840">
        <v>2851</v>
      </c>
      <c r="F840">
        <v>13</v>
      </c>
      <c r="G840" s="2">
        <v>4.5999999999999999E-3</v>
      </c>
      <c r="H840" s="2">
        <f>Table1[[#This Row],[İade Miktarı]]/Table1[[#This Row],[Satış Miktarı]]</f>
        <v>4.5598035776920377E-3</v>
      </c>
      <c r="I840" t="s">
        <v>18</v>
      </c>
      <c r="J840">
        <v>29</v>
      </c>
      <c r="K840">
        <f>Table1[[#This Row],[Satış Miktarı]]*Table1[[#This Row],[Satış Fiyatı]]</f>
        <v>82679</v>
      </c>
      <c r="L840" t="s">
        <v>19</v>
      </c>
      <c r="M840" t="s">
        <v>46</v>
      </c>
      <c r="N840" t="s">
        <v>65</v>
      </c>
      <c r="O840">
        <v>0.2</v>
      </c>
      <c r="P840" t="s">
        <v>27</v>
      </c>
      <c r="Q840" t="s">
        <v>72</v>
      </c>
    </row>
    <row r="841" spans="1:17">
      <c r="A841">
        <v>391435971</v>
      </c>
      <c r="B841" t="s">
        <v>29</v>
      </c>
      <c r="C841" t="s">
        <v>17</v>
      </c>
      <c r="D841" s="1">
        <v>48345</v>
      </c>
      <c r="E841">
        <v>2320</v>
      </c>
      <c r="F841">
        <v>14</v>
      </c>
      <c r="G841" s="2">
        <v>6.0000000000000001E-3</v>
      </c>
      <c r="H841" s="2">
        <f>Table1[[#This Row],[İade Miktarı]]/Table1[[#This Row],[Satış Miktarı]]</f>
        <v>6.0344827586206896E-3</v>
      </c>
      <c r="I841" t="s">
        <v>18</v>
      </c>
      <c r="J841">
        <v>34</v>
      </c>
      <c r="K841">
        <f>Table1[[#This Row],[Satış Miktarı]]*Table1[[#This Row],[Satış Fiyatı]]</f>
        <v>78880</v>
      </c>
      <c r="L841" t="s">
        <v>19</v>
      </c>
      <c r="M841" t="s">
        <v>46</v>
      </c>
      <c r="N841" t="s">
        <v>43</v>
      </c>
      <c r="O841">
        <v>0.2</v>
      </c>
      <c r="P841" t="s">
        <v>22</v>
      </c>
      <c r="Q841" t="s">
        <v>40</v>
      </c>
    </row>
    <row r="842" spans="1:17">
      <c r="A842">
        <v>617629244</v>
      </c>
      <c r="B842" t="s">
        <v>33</v>
      </c>
      <c r="C842" t="s">
        <v>34</v>
      </c>
      <c r="D842" s="1">
        <v>47541</v>
      </c>
      <c r="E842">
        <v>3197</v>
      </c>
      <c r="F842">
        <v>20</v>
      </c>
      <c r="G842" s="2">
        <v>6.3E-3</v>
      </c>
      <c r="H842" s="2">
        <f>Table1[[#This Row],[İade Miktarı]]/Table1[[#This Row],[Satış Miktarı]]</f>
        <v>6.2558648733187366E-3</v>
      </c>
      <c r="I842" t="s">
        <v>18</v>
      </c>
      <c r="J842">
        <v>49</v>
      </c>
      <c r="K842">
        <f>Table1[[#This Row],[Satış Miktarı]]*Table1[[#This Row],[Satış Fiyatı]]</f>
        <v>156653</v>
      </c>
      <c r="L842" t="s">
        <v>19</v>
      </c>
      <c r="M842" t="s">
        <v>52</v>
      </c>
      <c r="N842" t="s">
        <v>78</v>
      </c>
      <c r="O842">
        <v>0.2</v>
      </c>
      <c r="P842" t="s">
        <v>27</v>
      </c>
      <c r="Q842" t="s">
        <v>62</v>
      </c>
    </row>
    <row r="843" spans="1:17">
      <c r="A843">
        <v>67322305</v>
      </c>
      <c r="B843" t="s">
        <v>37</v>
      </c>
      <c r="C843" t="s">
        <v>34</v>
      </c>
      <c r="D843" s="1">
        <v>47580</v>
      </c>
      <c r="E843">
        <v>3664</v>
      </c>
      <c r="F843">
        <v>37</v>
      </c>
      <c r="G843" s="2">
        <v>1.01E-2</v>
      </c>
      <c r="H843" s="2">
        <f>Table1[[#This Row],[İade Miktarı]]/Table1[[#This Row],[Satış Miktarı]]</f>
        <v>1.009825327510917E-2</v>
      </c>
      <c r="I843" t="s">
        <v>45</v>
      </c>
      <c r="J843">
        <v>22</v>
      </c>
      <c r="K843">
        <f>Table1[[#This Row],[Satış Miktarı]]*Table1[[#This Row],[Satış Fiyatı]]</f>
        <v>80608</v>
      </c>
      <c r="L843" t="s">
        <v>19</v>
      </c>
      <c r="M843" t="s">
        <v>55</v>
      </c>
      <c r="N843" t="s">
        <v>43</v>
      </c>
      <c r="O843">
        <v>0.2</v>
      </c>
      <c r="P843" t="s">
        <v>22</v>
      </c>
      <c r="Q843" t="s">
        <v>82</v>
      </c>
    </row>
    <row r="844" spans="1:17">
      <c r="A844">
        <v>103233668</v>
      </c>
      <c r="B844" t="s">
        <v>41</v>
      </c>
      <c r="C844" t="s">
        <v>17</v>
      </c>
      <c r="D844" s="1">
        <v>47851</v>
      </c>
      <c r="E844">
        <v>2404</v>
      </c>
      <c r="F844">
        <v>34</v>
      </c>
      <c r="G844" s="2">
        <v>1.41E-2</v>
      </c>
      <c r="H844" s="2">
        <f>Table1[[#This Row],[İade Miktarı]]/Table1[[#This Row],[Satış Miktarı]]</f>
        <v>1.4143094841930116E-2</v>
      </c>
      <c r="I844" t="s">
        <v>18</v>
      </c>
      <c r="J844">
        <v>35</v>
      </c>
      <c r="K844">
        <f>Table1[[#This Row],[Satış Miktarı]]*Table1[[#This Row],[Satış Fiyatı]]</f>
        <v>84140</v>
      </c>
      <c r="L844" t="s">
        <v>19</v>
      </c>
      <c r="M844" t="s">
        <v>58</v>
      </c>
      <c r="N844" t="s">
        <v>47</v>
      </c>
      <c r="O844">
        <v>0.2</v>
      </c>
      <c r="P844" t="s">
        <v>22</v>
      </c>
      <c r="Q844" t="s">
        <v>62</v>
      </c>
    </row>
    <row r="845" spans="1:17">
      <c r="A845">
        <v>374674994</v>
      </c>
      <c r="B845" t="s">
        <v>44</v>
      </c>
      <c r="C845" t="s">
        <v>17</v>
      </c>
      <c r="D845" s="1">
        <v>48290</v>
      </c>
      <c r="E845">
        <v>1460</v>
      </c>
      <c r="F845">
        <v>15</v>
      </c>
      <c r="G845" s="2">
        <v>1.03E-2</v>
      </c>
      <c r="H845" s="2">
        <f>Table1[[#This Row],[İade Miktarı]]/Table1[[#This Row],[Satış Miktarı]]</f>
        <v>1.0273972602739725E-2</v>
      </c>
      <c r="I845" t="s">
        <v>18</v>
      </c>
      <c r="J845">
        <v>41</v>
      </c>
      <c r="K845">
        <f>Table1[[#This Row],[Satış Miktarı]]*Table1[[#This Row],[Satış Fiyatı]]</f>
        <v>59860</v>
      </c>
      <c r="L845" t="s">
        <v>19</v>
      </c>
      <c r="M845" t="s">
        <v>60</v>
      </c>
      <c r="N845" t="s">
        <v>76</v>
      </c>
      <c r="O845">
        <v>0.2</v>
      </c>
      <c r="P845" t="s">
        <v>27</v>
      </c>
      <c r="Q845" t="s">
        <v>48</v>
      </c>
    </row>
    <row r="846" spans="1:17">
      <c r="A846">
        <v>289965246</v>
      </c>
      <c r="B846" t="s">
        <v>49</v>
      </c>
      <c r="C846" t="s">
        <v>34</v>
      </c>
      <c r="D846" s="1">
        <v>48336</v>
      </c>
      <c r="E846">
        <v>3211</v>
      </c>
      <c r="F846">
        <v>17</v>
      </c>
      <c r="G846" s="2">
        <v>5.3E-3</v>
      </c>
      <c r="H846" s="2">
        <f>Table1[[#This Row],[İade Miktarı]]/Table1[[#This Row],[Satış Miktarı]]</f>
        <v>5.2943008408595452E-3</v>
      </c>
      <c r="I846" t="s">
        <v>18</v>
      </c>
      <c r="J846">
        <v>48</v>
      </c>
      <c r="K846">
        <f>Table1[[#This Row],[Satış Miktarı]]*Table1[[#This Row],[Satış Fiyatı]]</f>
        <v>154128</v>
      </c>
      <c r="L846" t="s">
        <v>19</v>
      </c>
      <c r="M846" t="s">
        <v>64</v>
      </c>
      <c r="N846" t="s">
        <v>78</v>
      </c>
      <c r="O846">
        <v>0.2</v>
      </c>
      <c r="P846" t="s">
        <v>22</v>
      </c>
      <c r="Q846" t="s">
        <v>23</v>
      </c>
    </row>
    <row r="847" spans="1:17">
      <c r="A847">
        <v>394172590</v>
      </c>
      <c r="B847" t="s">
        <v>51</v>
      </c>
      <c r="C847" t="s">
        <v>17</v>
      </c>
      <c r="D847" s="1">
        <v>48540</v>
      </c>
      <c r="E847">
        <v>4303</v>
      </c>
      <c r="F847">
        <v>20</v>
      </c>
      <c r="G847" s="2">
        <v>4.5999999999999999E-3</v>
      </c>
      <c r="H847" s="2">
        <f>Table1[[#This Row],[İade Miktarı]]/Table1[[#This Row],[Satış Miktarı]]</f>
        <v>4.6479200557750407E-3</v>
      </c>
      <c r="I847" t="s">
        <v>18</v>
      </c>
      <c r="J847">
        <v>28</v>
      </c>
      <c r="K847">
        <f>Table1[[#This Row],[Satış Miktarı]]*Table1[[#This Row],[Satış Fiyatı]]</f>
        <v>120484</v>
      </c>
      <c r="L847" t="s">
        <v>19</v>
      </c>
      <c r="M847" t="s">
        <v>68</v>
      </c>
      <c r="N847" t="s">
        <v>47</v>
      </c>
      <c r="O847">
        <v>0.2</v>
      </c>
      <c r="P847" t="s">
        <v>27</v>
      </c>
      <c r="Q847" t="s">
        <v>75</v>
      </c>
    </row>
    <row r="848" spans="1:17">
      <c r="A848">
        <v>395699330</v>
      </c>
      <c r="B848" t="s">
        <v>54</v>
      </c>
      <c r="C848" t="s">
        <v>34</v>
      </c>
      <c r="D848" s="1">
        <v>47962</v>
      </c>
      <c r="E848">
        <v>3760</v>
      </c>
      <c r="F848">
        <v>15</v>
      </c>
      <c r="G848" s="2">
        <v>4.0000000000000001E-3</v>
      </c>
      <c r="H848" s="2">
        <f>Table1[[#This Row],[İade Miktarı]]/Table1[[#This Row],[Satış Miktarı]]</f>
        <v>3.9893617021276593E-3</v>
      </c>
      <c r="I848" t="s">
        <v>18</v>
      </c>
      <c r="J848">
        <v>20</v>
      </c>
      <c r="K848">
        <f>Table1[[#This Row],[Satış Miktarı]]*Table1[[#This Row],[Satış Fiyatı]]</f>
        <v>75200</v>
      </c>
      <c r="L848" t="s">
        <v>19</v>
      </c>
      <c r="M848" t="s">
        <v>71</v>
      </c>
      <c r="N848" t="s">
        <v>61</v>
      </c>
      <c r="O848">
        <v>0.2</v>
      </c>
      <c r="P848" t="s">
        <v>22</v>
      </c>
      <c r="Q848" t="s">
        <v>56</v>
      </c>
    </row>
    <row r="849" spans="1:17">
      <c r="A849">
        <v>774726043</v>
      </c>
      <c r="B849" t="s">
        <v>57</v>
      </c>
      <c r="C849" t="s">
        <v>34</v>
      </c>
      <c r="D849" s="1">
        <v>48203</v>
      </c>
      <c r="E849">
        <v>3021</v>
      </c>
      <c r="F849">
        <v>37</v>
      </c>
      <c r="G849" s="2">
        <v>1.2200000000000001E-2</v>
      </c>
      <c r="H849" s="2">
        <f>Table1[[#This Row],[İade Miktarı]]/Table1[[#This Row],[Satış Miktarı]]</f>
        <v>1.2247600132406488E-2</v>
      </c>
      <c r="I849" t="s">
        <v>18</v>
      </c>
      <c r="J849">
        <v>32</v>
      </c>
      <c r="K849">
        <f>Table1[[#This Row],[Satış Miktarı]]*Table1[[#This Row],[Satış Fiyatı]]</f>
        <v>96672</v>
      </c>
      <c r="L849" t="s">
        <v>19</v>
      </c>
      <c r="M849" t="s">
        <v>74</v>
      </c>
      <c r="N849" t="s">
        <v>26</v>
      </c>
      <c r="O849">
        <v>0.2</v>
      </c>
      <c r="P849" t="s">
        <v>27</v>
      </c>
      <c r="Q849" t="s">
        <v>53</v>
      </c>
    </row>
    <row r="850" spans="1:17">
      <c r="A850">
        <v>717196501</v>
      </c>
      <c r="B850" t="s">
        <v>59</v>
      </c>
      <c r="C850" t="s">
        <v>17</v>
      </c>
      <c r="D850" s="1">
        <v>48551</v>
      </c>
      <c r="E850">
        <v>4471</v>
      </c>
      <c r="F850">
        <v>17</v>
      </c>
      <c r="G850" s="2">
        <v>3.8E-3</v>
      </c>
      <c r="H850" s="2">
        <f>Table1[[#This Row],[İade Miktarı]]/Table1[[#This Row],[Satış Miktarı]]</f>
        <v>3.8022813688212928E-3</v>
      </c>
      <c r="I850" t="s">
        <v>18</v>
      </c>
      <c r="J850">
        <v>41</v>
      </c>
      <c r="K850">
        <f>Table1[[#This Row],[Satış Miktarı]]*Table1[[#This Row],[Satış Fiyatı]]</f>
        <v>183311</v>
      </c>
      <c r="L850" t="s">
        <v>19</v>
      </c>
      <c r="M850" t="s">
        <v>20</v>
      </c>
      <c r="N850" t="s">
        <v>65</v>
      </c>
      <c r="O850">
        <v>0.2</v>
      </c>
      <c r="P850" t="s">
        <v>22</v>
      </c>
      <c r="Q850" t="s">
        <v>28</v>
      </c>
    </row>
    <row r="851" spans="1:17">
      <c r="A851">
        <v>964689606</v>
      </c>
      <c r="B851" t="s">
        <v>63</v>
      </c>
      <c r="C851" t="s">
        <v>17</v>
      </c>
      <c r="D851" s="1">
        <v>48082</v>
      </c>
      <c r="E851">
        <v>1803</v>
      </c>
      <c r="F851">
        <v>31</v>
      </c>
      <c r="G851" s="2">
        <v>1.72E-2</v>
      </c>
      <c r="H851" s="2">
        <f>Table1[[#This Row],[İade Miktarı]]/Table1[[#This Row],[Satış Miktarı]]</f>
        <v>1.7193566278424846E-2</v>
      </c>
      <c r="I851" t="s">
        <v>18</v>
      </c>
      <c r="J851">
        <v>40</v>
      </c>
      <c r="K851">
        <f>Table1[[#This Row],[Satış Miktarı]]*Table1[[#This Row],[Satış Fiyatı]]</f>
        <v>72120</v>
      </c>
      <c r="L851" t="s">
        <v>19</v>
      </c>
      <c r="M851" t="s">
        <v>25</v>
      </c>
      <c r="N851" t="s">
        <v>50</v>
      </c>
      <c r="O851">
        <v>0.2</v>
      </c>
      <c r="P851" t="s">
        <v>22</v>
      </c>
      <c r="Q851" t="s">
        <v>28</v>
      </c>
    </row>
    <row r="852" spans="1:17">
      <c r="A852">
        <v>648283534</v>
      </c>
      <c r="B852" t="s">
        <v>67</v>
      </c>
      <c r="C852" t="s">
        <v>17</v>
      </c>
      <c r="D852" s="1">
        <v>48515</v>
      </c>
      <c r="E852">
        <v>2799</v>
      </c>
      <c r="F852">
        <v>20</v>
      </c>
      <c r="G852" s="2">
        <v>7.1000000000000004E-3</v>
      </c>
      <c r="H852" s="2">
        <f>Table1[[#This Row],[İade Miktarı]]/Table1[[#This Row],[Satış Miktarı]]</f>
        <v>7.145409074669525E-3</v>
      </c>
      <c r="I852" t="s">
        <v>81</v>
      </c>
      <c r="J852">
        <v>41</v>
      </c>
      <c r="K852">
        <f>Table1[[#This Row],[Satış Miktarı]]*Table1[[#This Row],[Satış Fiyatı]]</f>
        <v>114759</v>
      </c>
      <c r="L852" t="s">
        <v>19</v>
      </c>
      <c r="M852" t="s">
        <v>30</v>
      </c>
      <c r="N852" t="s">
        <v>61</v>
      </c>
      <c r="O852">
        <v>0.2</v>
      </c>
      <c r="P852" t="s">
        <v>27</v>
      </c>
      <c r="Q852" t="s">
        <v>66</v>
      </c>
    </row>
    <row r="853" spans="1:17">
      <c r="A853">
        <v>732750601</v>
      </c>
      <c r="B853" t="s">
        <v>70</v>
      </c>
      <c r="C853" t="s">
        <v>17</v>
      </c>
      <c r="D853" s="1">
        <v>48137</v>
      </c>
      <c r="E853">
        <v>1366</v>
      </c>
      <c r="F853">
        <v>44</v>
      </c>
      <c r="G853" s="2">
        <v>3.2199999999999999E-2</v>
      </c>
      <c r="H853" s="2">
        <f>Table1[[#This Row],[İade Miktarı]]/Table1[[#This Row],[Satış Miktarı]]</f>
        <v>3.2210834553440704E-2</v>
      </c>
      <c r="I853" t="s">
        <v>18</v>
      </c>
      <c r="J853">
        <v>44</v>
      </c>
      <c r="K853">
        <f>Table1[[#This Row],[Satış Miktarı]]*Table1[[#This Row],[Satış Fiyatı]]</f>
        <v>60104</v>
      </c>
      <c r="L853" t="s">
        <v>19</v>
      </c>
      <c r="M853" t="s">
        <v>35</v>
      </c>
      <c r="N853" t="s">
        <v>39</v>
      </c>
      <c r="O853">
        <v>0.2</v>
      </c>
      <c r="P853" t="s">
        <v>22</v>
      </c>
      <c r="Q853" t="s">
        <v>32</v>
      </c>
    </row>
    <row r="854" spans="1:17">
      <c r="A854">
        <v>15713937</v>
      </c>
      <c r="B854" t="s">
        <v>73</v>
      </c>
      <c r="C854" t="s">
        <v>17</v>
      </c>
      <c r="D854" s="1">
        <v>47674</v>
      </c>
      <c r="E854">
        <v>4180</v>
      </c>
      <c r="F854">
        <v>22</v>
      </c>
      <c r="G854" s="2">
        <v>5.3E-3</v>
      </c>
      <c r="H854" s="2">
        <f>Table1[[#This Row],[İade Miktarı]]/Table1[[#This Row],[Satış Miktarı]]</f>
        <v>5.263157894736842E-3</v>
      </c>
      <c r="I854" t="s">
        <v>18</v>
      </c>
      <c r="J854">
        <v>44</v>
      </c>
      <c r="K854">
        <f>Table1[[#This Row],[Satış Miktarı]]*Table1[[#This Row],[Satış Fiyatı]]</f>
        <v>183920</v>
      </c>
      <c r="L854" t="s">
        <v>19</v>
      </c>
      <c r="M854" t="s">
        <v>38</v>
      </c>
      <c r="N854" t="s">
        <v>43</v>
      </c>
      <c r="O854">
        <v>0.2</v>
      </c>
      <c r="P854" t="s">
        <v>27</v>
      </c>
      <c r="Q854" t="s">
        <v>80</v>
      </c>
    </row>
    <row r="855" spans="1:17">
      <c r="A855">
        <v>607018526</v>
      </c>
      <c r="B855" t="s">
        <v>16</v>
      </c>
      <c r="C855" t="s">
        <v>17</v>
      </c>
      <c r="D855" s="1">
        <v>48039</v>
      </c>
      <c r="E855">
        <v>1872</v>
      </c>
      <c r="F855">
        <v>47</v>
      </c>
      <c r="G855" s="2">
        <v>2.5100000000000001E-2</v>
      </c>
      <c r="H855" s="2">
        <f>Table1[[#This Row],[İade Miktarı]]/Table1[[#This Row],[Satış Miktarı]]</f>
        <v>2.5106837606837608E-2</v>
      </c>
      <c r="I855" t="s">
        <v>18</v>
      </c>
      <c r="J855">
        <v>27</v>
      </c>
      <c r="K855">
        <f>Table1[[#This Row],[Satış Miktarı]]*Table1[[#This Row],[Satış Fiyatı]]</f>
        <v>50544</v>
      </c>
      <c r="L855" t="s">
        <v>19</v>
      </c>
      <c r="M855" t="s">
        <v>42</v>
      </c>
      <c r="N855" t="s">
        <v>39</v>
      </c>
      <c r="O855">
        <v>0.2</v>
      </c>
      <c r="P855" t="s">
        <v>22</v>
      </c>
      <c r="Q855" t="s">
        <v>56</v>
      </c>
    </row>
    <row r="856" spans="1:17">
      <c r="A856">
        <v>178576433</v>
      </c>
      <c r="B856" t="s">
        <v>24</v>
      </c>
      <c r="C856" t="s">
        <v>17</v>
      </c>
      <c r="D856" s="1">
        <v>48313</v>
      </c>
      <c r="E856">
        <v>1282</v>
      </c>
      <c r="F856">
        <v>16</v>
      </c>
      <c r="G856" s="2">
        <v>1.2500000000000001E-2</v>
      </c>
      <c r="H856" s="2">
        <f>Table1[[#This Row],[İade Miktarı]]/Table1[[#This Row],[Satış Miktarı]]</f>
        <v>1.2480499219968799E-2</v>
      </c>
      <c r="I856" t="s">
        <v>18</v>
      </c>
      <c r="J856">
        <v>36</v>
      </c>
      <c r="K856">
        <f>Table1[[#This Row],[Satış Miktarı]]*Table1[[#This Row],[Satış Fiyatı]]</f>
        <v>46152</v>
      </c>
      <c r="L856" t="s">
        <v>19</v>
      </c>
      <c r="M856" t="s">
        <v>46</v>
      </c>
      <c r="N856" t="s">
        <v>43</v>
      </c>
      <c r="O856">
        <v>0.2</v>
      </c>
      <c r="P856" t="s">
        <v>27</v>
      </c>
      <c r="Q856" t="s">
        <v>69</v>
      </c>
    </row>
    <row r="857" spans="1:17">
      <c r="A857">
        <v>617022116</v>
      </c>
      <c r="B857" t="s">
        <v>29</v>
      </c>
      <c r="C857" t="s">
        <v>17</v>
      </c>
      <c r="D857" s="1">
        <v>48345</v>
      </c>
      <c r="E857">
        <v>2993</v>
      </c>
      <c r="F857">
        <v>25</v>
      </c>
      <c r="G857" s="2">
        <v>8.3999999999999995E-3</v>
      </c>
      <c r="H857" s="2">
        <f>Table1[[#This Row],[İade Miktarı]]/Table1[[#This Row],[Satış Miktarı]]</f>
        <v>8.35282325425994E-3</v>
      </c>
      <c r="I857" t="s">
        <v>18</v>
      </c>
      <c r="J857">
        <v>20</v>
      </c>
      <c r="K857">
        <f>Table1[[#This Row],[Satış Miktarı]]*Table1[[#This Row],[Satış Fiyatı]]</f>
        <v>59860</v>
      </c>
      <c r="L857" t="s">
        <v>19</v>
      </c>
      <c r="M857" t="s">
        <v>46</v>
      </c>
      <c r="N857" t="s">
        <v>31</v>
      </c>
      <c r="O857">
        <v>0.2</v>
      </c>
      <c r="P857" t="s">
        <v>27</v>
      </c>
      <c r="Q857" t="s">
        <v>32</v>
      </c>
    </row>
    <row r="858" spans="1:17">
      <c r="A858">
        <v>985091899</v>
      </c>
      <c r="B858" t="s">
        <v>33</v>
      </c>
      <c r="C858" t="s">
        <v>34</v>
      </c>
      <c r="D858" s="1">
        <v>48053</v>
      </c>
      <c r="E858">
        <v>4968</v>
      </c>
      <c r="F858">
        <v>40</v>
      </c>
      <c r="G858" s="2">
        <v>8.0999999999999996E-3</v>
      </c>
      <c r="H858" s="2">
        <f>Table1[[#This Row],[İade Miktarı]]/Table1[[#This Row],[Satış Miktarı]]</f>
        <v>8.0515297906602248E-3</v>
      </c>
      <c r="I858" t="s">
        <v>18</v>
      </c>
      <c r="J858">
        <v>25</v>
      </c>
      <c r="K858">
        <f>Table1[[#This Row],[Satış Miktarı]]*Table1[[#This Row],[Satış Fiyatı]]</f>
        <v>124200</v>
      </c>
      <c r="L858" t="s">
        <v>19</v>
      </c>
      <c r="M858" t="s">
        <v>52</v>
      </c>
      <c r="N858" t="s">
        <v>31</v>
      </c>
      <c r="O858">
        <v>0.2</v>
      </c>
      <c r="P858" t="s">
        <v>22</v>
      </c>
      <c r="Q858" t="s">
        <v>28</v>
      </c>
    </row>
    <row r="859" spans="1:17">
      <c r="A859">
        <v>585307791</v>
      </c>
      <c r="B859" t="s">
        <v>37</v>
      </c>
      <c r="C859" t="s">
        <v>34</v>
      </c>
      <c r="D859" s="1">
        <v>48232</v>
      </c>
      <c r="E859">
        <v>4190</v>
      </c>
      <c r="F859">
        <v>30</v>
      </c>
      <c r="G859" s="2">
        <v>7.1999999999999998E-3</v>
      </c>
      <c r="H859" s="2">
        <f>Table1[[#This Row],[İade Miktarı]]/Table1[[#This Row],[Satış Miktarı]]</f>
        <v>7.1599045346062056E-3</v>
      </c>
      <c r="I859" t="s">
        <v>18</v>
      </c>
      <c r="J859">
        <v>47</v>
      </c>
      <c r="K859">
        <f>Table1[[#This Row],[Satış Miktarı]]*Table1[[#This Row],[Satış Fiyatı]]</f>
        <v>196930</v>
      </c>
      <c r="L859" t="s">
        <v>19</v>
      </c>
      <c r="M859" t="s">
        <v>55</v>
      </c>
      <c r="N859" t="s">
        <v>65</v>
      </c>
      <c r="O859">
        <v>0.2</v>
      </c>
      <c r="P859" t="s">
        <v>22</v>
      </c>
      <c r="Q859" t="s">
        <v>32</v>
      </c>
    </row>
    <row r="860" spans="1:17">
      <c r="A860">
        <v>500927265</v>
      </c>
      <c r="B860" t="s">
        <v>41</v>
      </c>
      <c r="C860" t="s">
        <v>17</v>
      </c>
      <c r="D860" s="1">
        <v>47733</v>
      </c>
      <c r="E860">
        <v>2854</v>
      </c>
      <c r="F860">
        <v>42</v>
      </c>
      <c r="G860" s="2">
        <v>1.47E-2</v>
      </c>
      <c r="H860" s="2">
        <f>Table1[[#This Row],[İade Miktarı]]/Table1[[#This Row],[Satış Miktarı]]</f>
        <v>1.4716187806587245E-2</v>
      </c>
      <c r="I860" t="s">
        <v>18</v>
      </c>
      <c r="J860">
        <v>47</v>
      </c>
      <c r="K860">
        <f>Table1[[#This Row],[Satış Miktarı]]*Table1[[#This Row],[Satış Fiyatı]]</f>
        <v>134138</v>
      </c>
      <c r="L860" t="s">
        <v>19</v>
      </c>
      <c r="M860" t="s">
        <v>58</v>
      </c>
      <c r="N860" t="s">
        <v>21</v>
      </c>
      <c r="O860">
        <v>0.2</v>
      </c>
      <c r="P860" t="s">
        <v>27</v>
      </c>
      <c r="Q860" t="s">
        <v>82</v>
      </c>
    </row>
    <row r="861" spans="1:17">
      <c r="A861">
        <v>399209814</v>
      </c>
      <c r="B861" t="s">
        <v>44</v>
      </c>
      <c r="C861" t="s">
        <v>17</v>
      </c>
      <c r="D861" s="1">
        <v>48526</v>
      </c>
      <c r="E861">
        <v>3460</v>
      </c>
      <c r="F861">
        <v>45</v>
      </c>
      <c r="G861" s="2">
        <v>1.2999999999999999E-2</v>
      </c>
      <c r="H861" s="2">
        <f>Table1[[#This Row],[İade Miktarı]]/Table1[[#This Row],[Satış Miktarı]]</f>
        <v>1.300578034682081E-2</v>
      </c>
      <c r="I861" t="s">
        <v>18</v>
      </c>
      <c r="J861">
        <v>40</v>
      </c>
      <c r="K861">
        <f>Table1[[#This Row],[Satış Miktarı]]*Table1[[#This Row],[Satış Fiyatı]]</f>
        <v>138400</v>
      </c>
      <c r="L861" t="s">
        <v>19</v>
      </c>
      <c r="M861" t="s">
        <v>60</v>
      </c>
      <c r="N861" t="s">
        <v>39</v>
      </c>
      <c r="O861">
        <v>0.2</v>
      </c>
      <c r="P861" t="s">
        <v>27</v>
      </c>
      <c r="Q861" t="s">
        <v>77</v>
      </c>
    </row>
    <row r="862" spans="1:17">
      <c r="A862">
        <v>711702752</v>
      </c>
      <c r="B862" t="s">
        <v>49</v>
      </c>
      <c r="C862" t="s">
        <v>34</v>
      </c>
      <c r="D862" s="1">
        <v>48092</v>
      </c>
      <c r="E862">
        <v>1059</v>
      </c>
      <c r="F862">
        <v>15</v>
      </c>
      <c r="G862" s="2">
        <v>1.4200000000000001E-2</v>
      </c>
      <c r="H862" s="2">
        <f>Table1[[#This Row],[İade Miktarı]]/Table1[[#This Row],[Satış Miktarı]]</f>
        <v>1.4164305949008499E-2</v>
      </c>
      <c r="I862" t="s">
        <v>18</v>
      </c>
      <c r="J862">
        <v>38</v>
      </c>
      <c r="K862">
        <f>Table1[[#This Row],[Satış Miktarı]]*Table1[[#This Row],[Satış Fiyatı]]</f>
        <v>40242</v>
      </c>
      <c r="L862" t="s">
        <v>19</v>
      </c>
      <c r="M862" t="s">
        <v>64</v>
      </c>
      <c r="N862" t="s">
        <v>47</v>
      </c>
      <c r="O862">
        <v>0.2</v>
      </c>
      <c r="P862" t="s">
        <v>22</v>
      </c>
      <c r="Q862" t="s">
        <v>28</v>
      </c>
    </row>
    <row r="863" spans="1:17">
      <c r="A863">
        <v>956036698</v>
      </c>
      <c r="B863" t="s">
        <v>51</v>
      </c>
      <c r="C863" t="s">
        <v>17</v>
      </c>
      <c r="D863" s="1">
        <v>47960</v>
      </c>
      <c r="E863">
        <v>4644</v>
      </c>
      <c r="F863">
        <v>48</v>
      </c>
      <c r="G863" s="2">
        <v>1.03E-2</v>
      </c>
      <c r="H863" s="2">
        <f>Table1[[#This Row],[İade Miktarı]]/Table1[[#This Row],[Satış Miktarı]]</f>
        <v>1.0335917312661499E-2</v>
      </c>
      <c r="I863" t="s">
        <v>45</v>
      </c>
      <c r="J863">
        <v>45</v>
      </c>
      <c r="K863">
        <f>Table1[[#This Row],[Satış Miktarı]]*Table1[[#This Row],[Satış Fiyatı]]</f>
        <v>208980</v>
      </c>
      <c r="L863" t="s">
        <v>19</v>
      </c>
      <c r="M863" t="s">
        <v>68</v>
      </c>
      <c r="N863" t="s">
        <v>65</v>
      </c>
      <c r="O863">
        <v>0.2</v>
      </c>
      <c r="P863" t="s">
        <v>27</v>
      </c>
      <c r="Q863" t="s">
        <v>80</v>
      </c>
    </row>
    <row r="864" spans="1:17">
      <c r="A864">
        <v>113413555</v>
      </c>
      <c r="B864" t="s">
        <v>54</v>
      </c>
      <c r="C864" t="s">
        <v>34</v>
      </c>
      <c r="D864" s="1">
        <v>47510</v>
      </c>
      <c r="E864">
        <v>1134</v>
      </c>
      <c r="F864">
        <v>32</v>
      </c>
      <c r="G864" s="2">
        <v>2.8199999999999999E-2</v>
      </c>
      <c r="H864" s="2">
        <f>Table1[[#This Row],[İade Miktarı]]/Table1[[#This Row],[Satış Miktarı]]</f>
        <v>2.821869488536155E-2</v>
      </c>
      <c r="I864" t="s">
        <v>18</v>
      </c>
      <c r="J864">
        <v>34</v>
      </c>
      <c r="K864">
        <f>Table1[[#This Row],[Satış Miktarı]]*Table1[[#This Row],[Satış Fiyatı]]</f>
        <v>38556</v>
      </c>
      <c r="L864" t="s">
        <v>19</v>
      </c>
      <c r="M864" t="s">
        <v>71</v>
      </c>
      <c r="N864" t="s">
        <v>31</v>
      </c>
      <c r="O864">
        <v>0.2</v>
      </c>
      <c r="P864" t="s">
        <v>22</v>
      </c>
      <c r="Q864" t="s">
        <v>36</v>
      </c>
    </row>
    <row r="865" spans="1:17">
      <c r="A865">
        <v>545660809</v>
      </c>
      <c r="B865" t="s">
        <v>57</v>
      </c>
      <c r="C865" t="s">
        <v>34</v>
      </c>
      <c r="D865" s="1">
        <v>48151</v>
      </c>
      <c r="E865">
        <v>2175</v>
      </c>
      <c r="F865">
        <v>24</v>
      </c>
      <c r="G865" s="2">
        <v>1.0999999999999999E-2</v>
      </c>
      <c r="H865" s="2">
        <f>Table1[[#This Row],[İade Miktarı]]/Table1[[#This Row],[Satış Miktarı]]</f>
        <v>1.1034482758620689E-2</v>
      </c>
      <c r="I865" t="s">
        <v>18</v>
      </c>
      <c r="J865">
        <v>29</v>
      </c>
      <c r="K865">
        <f>Table1[[#This Row],[Satış Miktarı]]*Table1[[#This Row],[Satış Fiyatı]]</f>
        <v>63075</v>
      </c>
      <c r="L865" t="s">
        <v>19</v>
      </c>
      <c r="M865" t="s">
        <v>74</v>
      </c>
      <c r="N865" t="s">
        <v>76</v>
      </c>
      <c r="O865">
        <v>0.2</v>
      </c>
      <c r="P865" t="s">
        <v>22</v>
      </c>
      <c r="Q865" t="s">
        <v>40</v>
      </c>
    </row>
    <row r="866" spans="1:17">
      <c r="A866">
        <v>114640473</v>
      </c>
      <c r="B866" t="s">
        <v>59</v>
      </c>
      <c r="C866" t="s">
        <v>17</v>
      </c>
      <c r="D866" s="1">
        <v>48506</v>
      </c>
      <c r="E866">
        <v>4274</v>
      </c>
      <c r="F866">
        <v>14</v>
      </c>
      <c r="G866" s="2">
        <v>3.3E-3</v>
      </c>
      <c r="H866" s="2">
        <f>Table1[[#This Row],[İade Miktarı]]/Table1[[#This Row],[Satış Miktarı]]</f>
        <v>3.2756200280767431E-3</v>
      </c>
      <c r="I866" t="s">
        <v>18</v>
      </c>
      <c r="J866">
        <v>24</v>
      </c>
      <c r="K866">
        <f>Table1[[#This Row],[Satış Miktarı]]*Table1[[#This Row],[Satış Fiyatı]]</f>
        <v>102576</v>
      </c>
      <c r="L866" t="s">
        <v>19</v>
      </c>
      <c r="M866" t="s">
        <v>20</v>
      </c>
      <c r="N866" t="s">
        <v>50</v>
      </c>
      <c r="O866">
        <v>0.2</v>
      </c>
      <c r="P866" t="s">
        <v>22</v>
      </c>
      <c r="Q866" t="s">
        <v>40</v>
      </c>
    </row>
    <row r="867" spans="1:17">
      <c r="A867">
        <v>987222221</v>
      </c>
      <c r="B867" t="s">
        <v>63</v>
      </c>
      <c r="C867" t="s">
        <v>17</v>
      </c>
      <c r="D867" s="1">
        <v>48270</v>
      </c>
      <c r="E867">
        <v>1192</v>
      </c>
      <c r="F867">
        <v>50</v>
      </c>
      <c r="G867" s="2">
        <v>4.19E-2</v>
      </c>
      <c r="H867" s="2">
        <f>Table1[[#This Row],[İade Miktarı]]/Table1[[#This Row],[Satış Miktarı]]</f>
        <v>4.1946308724832217E-2</v>
      </c>
      <c r="I867" t="s">
        <v>18</v>
      </c>
      <c r="J867">
        <v>23</v>
      </c>
      <c r="K867">
        <f>Table1[[#This Row],[Satış Miktarı]]*Table1[[#This Row],[Satış Fiyatı]]</f>
        <v>27416</v>
      </c>
      <c r="L867" t="s">
        <v>19</v>
      </c>
      <c r="M867" t="s">
        <v>25</v>
      </c>
      <c r="N867" t="s">
        <v>61</v>
      </c>
      <c r="O867">
        <v>0.2</v>
      </c>
      <c r="P867" t="s">
        <v>22</v>
      </c>
      <c r="Q867" t="s">
        <v>40</v>
      </c>
    </row>
    <row r="868" spans="1:17">
      <c r="A868">
        <v>896188908</v>
      </c>
      <c r="B868" t="s">
        <v>67</v>
      </c>
      <c r="C868" t="s">
        <v>17</v>
      </c>
      <c r="D868" s="1">
        <v>48112</v>
      </c>
      <c r="E868">
        <v>2365</v>
      </c>
      <c r="F868">
        <v>24</v>
      </c>
      <c r="G868" s="2">
        <v>1.01E-2</v>
      </c>
      <c r="H868" s="2">
        <f>Table1[[#This Row],[İade Miktarı]]/Table1[[#This Row],[Satış Miktarı]]</f>
        <v>1.014799154334038E-2</v>
      </c>
      <c r="I868" t="s">
        <v>45</v>
      </c>
      <c r="J868">
        <v>31</v>
      </c>
      <c r="K868">
        <f>Table1[[#This Row],[Satış Miktarı]]*Table1[[#This Row],[Satış Fiyatı]]</f>
        <v>73315</v>
      </c>
      <c r="L868" t="s">
        <v>19</v>
      </c>
      <c r="M868" t="s">
        <v>30</v>
      </c>
      <c r="N868" t="s">
        <v>76</v>
      </c>
      <c r="O868">
        <v>0.2</v>
      </c>
      <c r="P868" t="s">
        <v>27</v>
      </c>
      <c r="Q868" t="s">
        <v>40</v>
      </c>
    </row>
    <row r="869" spans="1:17">
      <c r="A869">
        <v>667175629</v>
      </c>
      <c r="B869" t="s">
        <v>70</v>
      </c>
      <c r="C869" t="s">
        <v>17</v>
      </c>
      <c r="D869" s="1">
        <v>47852</v>
      </c>
      <c r="E869">
        <v>4700</v>
      </c>
      <c r="F869">
        <v>19</v>
      </c>
      <c r="G869" s="2">
        <v>4.0000000000000001E-3</v>
      </c>
      <c r="H869" s="2">
        <f>Table1[[#This Row],[İade Miktarı]]/Table1[[#This Row],[Satış Miktarı]]</f>
        <v>4.0425531914893616E-3</v>
      </c>
      <c r="I869" t="s">
        <v>18</v>
      </c>
      <c r="J869">
        <v>31</v>
      </c>
      <c r="K869">
        <f>Table1[[#This Row],[Satış Miktarı]]*Table1[[#This Row],[Satış Fiyatı]]</f>
        <v>145700</v>
      </c>
      <c r="L869" t="s">
        <v>19</v>
      </c>
      <c r="M869" t="s">
        <v>35</v>
      </c>
      <c r="N869" t="s">
        <v>50</v>
      </c>
      <c r="O869">
        <v>0.2</v>
      </c>
      <c r="P869" t="s">
        <v>22</v>
      </c>
      <c r="Q869" t="s">
        <v>79</v>
      </c>
    </row>
    <row r="870" spans="1:17">
      <c r="A870">
        <v>455362927</v>
      </c>
      <c r="B870" t="s">
        <v>73</v>
      </c>
      <c r="C870" t="s">
        <v>17</v>
      </c>
      <c r="D870" s="1">
        <v>48335</v>
      </c>
      <c r="E870">
        <v>2695</v>
      </c>
      <c r="F870">
        <v>34</v>
      </c>
      <c r="G870" s="2">
        <v>1.26E-2</v>
      </c>
      <c r="H870" s="2">
        <f>Table1[[#This Row],[İade Miktarı]]/Table1[[#This Row],[Satış Miktarı]]</f>
        <v>1.2615955473098329E-2</v>
      </c>
      <c r="I870" t="s">
        <v>18</v>
      </c>
      <c r="J870">
        <v>43</v>
      </c>
      <c r="K870">
        <f>Table1[[#This Row],[Satış Miktarı]]*Table1[[#This Row],[Satış Fiyatı]]</f>
        <v>115885</v>
      </c>
      <c r="L870" t="s">
        <v>19</v>
      </c>
      <c r="M870" t="s">
        <v>38</v>
      </c>
      <c r="N870" t="s">
        <v>50</v>
      </c>
      <c r="O870">
        <v>0.2</v>
      </c>
      <c r="P870" t="s">
        <v>22</v>
      </c>
      <c r="Q870" t="s">
        <v>53</v>
      </c>
    </row>
    <row r="871" spans="1:17">
      <c r="A871">
        <v>731502970</v>
      </c>
      <c r="B871" t="s">
        <v>16</v>
      </c>
      <c r="C871" t="s">
        <v>17</v>
      </c>
      <c r="D871" s="1">
        <v>47658</v>
      </c>
      <c r="E871">
        <v>1307</v>
      </c>
      <c r="F871">
        <v>35</v>
      </c>
      <c r="G871" s="2">
        <v>2.6800000000000001E-2</v>
      </c>
      <c r="H871" s="2">
        <f>Table1[[#This Row],[İade Miktarı]]/Table1[[#This Row],[Satış Miktarı]]</f>
        <v>2.6778882938026015E-2</v>
      </c>
      <c r="I871" t="s">
        <v>18</v>
      </c>
      <c r="J871">
        <v>31</v>
      </c>
      <c r="K871">
        <f>Table1[[#This Row],[Satış Miktarı]]*Table1[[#This Row],[Satış Fiyatı]]</f>
        <v>40517</v>
      </c>
      <c r="L871" t="s">
        <v>19</v>
      </c>
      <c r="M871" t="s">
        <v>42</v>
      </c>
      <c r="N871" t="s">
        <v>26</v>
      </c>
      <c r="O871">
        <v>0.2</v>
      </c>
      <c r="P871" t="s">
        <v>22</v>
      </c>
      <c r="Q871" t="s">
        <v>40</v>
      </c>
    </row>
    <row r="872" spans="1:17">
      <c r="A872">
        <v>537945165</v>
      </c>
      <c r="B872" t="s">
        <v>24</v>
      </c>
      <c r="C872" t="s">
        <v>17</v>
      </c>
      <c r="D872" s="1">
        <v>48017</v>
      </c>
      <c r="E872">
        <v>2686</v>
      </c>
      <c r="F872">
        <v>11</v>
      </c>
      <c r="G872" s="2">
        <v>4.1000000000000003E-3</v>
      </c>
      <c r="H872" s="2">
        <f>Table1[[#This Row],[İade Miktarı]]/Table1[[#This Row],[Satış Miktarı]]</f>
        <v>4.0953090096798213E-3</v>
      </c>
      <c r="I872" t="s">
        <v>18</v>
      </c>
      <c r="J872">
        <v>47</v>
      </c>
      <c r="K872">
        <f>Table1[[#This Row],[Satış Miktarı]]*Table1[[#This Row],[Satış Fiyatı]]</f>
        <v>126242</v>
      </c>
      <c r="L872" t="s">
        <v>19</v>
      </c>
      <c r="M872" t="s">
        <v>46</v>
      </c>
      <c r="N872" t="s">
        <v>76</v>
      </c>
      <c r="O872">
        <v>0.2</v>
      </c>
      <c r="P872" t="s">
        <v>22</v>
      </c>
      <c r="Q872" t="s">
        <v>83</v>
      </c>
    </row>
    <row r="873" spans="1:17">
      <c r="A873">
        <v>63857446</v>
      </c>
      <c r="B873" t="s">
        <v>29</v>
      </c>
      <c r="C873" t="s">
        <v>17</v>
      </c>
      <c r="D873" s="1">
        <v>47820</v>
      </c>
      <c r="E873">
        <v>1912</v>
      </c>
      <c r="F873">
        <v>24</v>
      </c>
      <c r="G873" s="2">
        <v>1.26E-2</v>
      </c>
      <c r="H873" s="2">
        <f>Table1[[#This Row],[İade Miktarı]]/Table1[[#This Row],[Satış Miktarı]]</f>
        <v>1.2552301255230125E-2</v>
      </c>
      <c r="I873" t="s">
        <v>18</v>
      </c>
      <c r="J873">
        <v>27</v>
      </c>
      <c r="K873">
        <f>Table1[[#This Row],[Satış Miktarı]]*Table1[[#This Row],[Satış Fiyatı]]</f>
        <v>51624</v>
      </c>
      <c r="L873" t="s">
        <v>19</v>
      </c>
      <c r="M873" t="s">
        <v>46</v>
      </c>
      <c r="N873" t="s">
        <v>31</v>
      </c>
      <c r="O873">
        <v>0.2</v>
      </c>
      <c r="P873" t="s">
        <v>22</v>
      </c>
      <c r="Q873" t="s">
        <v>83</v>
      </c>
    </row>
    <row r="874" spans="1:17">
      <c r="A874">
        <v>979398711</v>
      </c>
      <c r="B874" t="s">
        <v>33</v>
      </c>
      <c r="C874" t="s">
        <v>34</v>
      </c>
      <c r="D874" s="1">
        <v>47828</v>
      </c>
      <c r="E874">
        <v>1774</v>
      </c>
      <c r="F874">
        <v>36</v>
      </c>
      <c r="G874" s="2">
        <v>2.0299999999999999E-2</v>
      </c>
      <c r="H874" s="2">
        <f>Table1[[#This Row],[İade Miktarı]]/Table1[[#This Row],[Satış Miktarı]]</f>
        <v>2.0293122886133032E-2</v>
      </c>
      <c r="I874" t="s">
        <v>18</v>
      </c>
      <c r="J874">
        <v>44</v>
      </c>
      <c r="K874">
        <f>Table1[[#This Row],[Satış Miktarı]]*Table1[[#This Row],[Satış Fiyatı]]</f>
        <v>78056</v>
      </c>
      <c r="L874" t="s">
        <v>19</v>
      </c>
      <c r="M874" t="s">
        <v>52</v>
      </c>
      <c r="N874" t="s">
        <v>31</v>
      </c>
      <c r="O874">
        <v>0.2</v>
      </c>
      <c r="P874" t="s">
        <v>27</v>
      </c>
      <c r="Q874" t="s">
        <v>82</v>
      </c>
    </row>
    <row r="875" spans="1:17">
      <c r="A875">
        <v>609574065</v>
      </c>
      <c r="B875" t="s">
        <v>37</v>
      </c>
      <c r="C875" t="s">
        <v>34</v>
      </c>
      <c r="D875" s="1">
        <v>47648</v>
      </c>
      <c r="E875">
        <v>1924</v>
      </c>
      <c r="F875">
        <v>10</v>
      </c>
      <c r="G875" s="2">
        <v>5.1999999999999998E-3</v>
      </c>
      <c r="H875" s="2">
        <f>Table1[[#This Row],[İade Miktarı]]/Table1[[#This Row],[Satış Miktarı]]</f>
        <v>5.1975051975051978E-3</v>
      </c>
      <c r="I875" t="s">
        <v>18</v>
      </c>
      <c r="J875">
        <v>50</v>
      </c>
      <c r="K875">
        <f>Table1[[#This Row],[Satış Miktarı]]*Table1[[#This Row],[Satış Fiyatı]]</f>
        <v>96200</v>
      </c>
      <c r="L875" t="s">
        <v>19</v>
      </c>
      <c r="M875" t="s">
        <v>55</v>
      </c>
      <c r="N875" t="s">
        <v>21</v>
      </c>
      <c r="O875">
        <v>0.2</v>
      </c>
      <c r="P875" t="s">
        <v>27</v>
      </c>
      <c r="Q875" t="s">
        <v>84</v>
      </c>
    </row>
    <row r="876" spans="1:17">
      <c r="A876">
        <v>819420546</v>
      </c>
      <c r="B876" t="s">
        <v>41</v>
      </c>
      <c r="C876" t="s">
        <v>17</v>
      </c>
      <c r="D876" s="1">
        <v>47980</v>
      </c>
      <c r="E876">
        <v>1242</v>
      </c>
      <c r="F876">
        <v>36</v>
      </c>
      <c r="G876" s="2">
        <v>2.9000000000000001E-2</v>
      </c>
      <c r="H876" s="2">
        <f>Table1[[#This Row],[İade Miktarı]]/Table1[[#This Row],[Satış Miktarı]]</f>
        <v>2.8985507246376812E-2</v>
      </c>
      <c r="I876" t="s">
        <v>18</v>
      </c>
      <c r="J876">
        <v>44</v>
      </c>
      <c r="K876">
        <f>Table1[[#This Row],[Satış Miktarı]]*Table1[[#This Row],[Satış Fiyatı]]</f>
        <v>54648</v>
      </c>
      <c r="L876" t="s">
        <v>19</v>
      </c>
      <c r="M876" t="s">
        <v>58</v>
      </c>
      <c r="N876" t="s">
        <v>76</v>
      </c>
      <c r="O876">
        <v>0.2</v>
      </c>
      <c r="P876" t="s">
        <v>27</v>
      </c>
      <c r="Q876" t="s">
        <v>23</v>
      </c>
    </row>
    <row r="877" spans="1:17">
      <c r="A877">
        <v>503748016</v>
      </c>
      <c r="B877" t="s">
        <v>44</v>
      </c>
      <c r="C877" t="s">
        <v>17</v>
      </c>
      <c r="D877" s="1">
        <v>48241</v>
      </c>
      <c r="E877">
        <v>1885</v>
      </c>
      <c r="F877">
        <v>49</v>
      </c>
      <c r="G877" s="2">
        <v>2.5999999999999999E-2</v>
      </c>
      <c r="H877" s="2">
        <f>Table1[[#This Row],[İade Miktarı]]/Table1[[#This Row],[Satış Miktarı]]</f>
        <v>2.59946949602122E-2</v>
      </c>
      <c r="I877" t="s">
        <v>18</v>
      </c>
      <c r="J877">
        <v>21</v>
      </c>
      <c r="K877">
        <f>Table1[[#This Row],[Satış Miktarı]]*Table1[[#This Row],[Satış Fiyatı]]</f>
        <v>39585</v>
      </c>
      <c r="L877" t="s">
        <v>19</v>
      </c>
      <c r="M877" t="s">
        <v>60</v>
      </c>
      <c r="N877" t="s">
        <v>21</v>
      </c>
      <c r="O877">
        <v>0.2</v>
      </c>
      <c r="P877" t="s">
        <v>22</v>
      </c>
      <c r="Q877" t="s">
        <v>53</v>
      </c>
    </row>
    <row r="878" spans="1:17">
      <c r="A878">
        <v>644796507</v>
      </c>
      <c r="B878" t="s">
        <v>49</v>
      </c>
      <c r="C878" t="s">
        <v>34</v>
      </c>
      <c r="D878" s="1">
        <v>48497</v>
      </c>
      <c r="E878">
        <v>2510</v>
      </c>
      <c r="F878">
        <v>44</v>
      </c>
      <c r="G878" s="2">
        <v>1.7500000000000002E-2</v>
      </c>
      <c r="H878" s="2">
        <f>Table1[[#This Row],[İade Miktarı]]/Table1[[#This Row],[Satış Miktarı]]</f>
        <v>1.752988047808765E-2</v>
      </c>
      <c r="I878" t="s">
        <v>18</v>
      </c>
      <c r="J878">
        <v>26</v>
      </c>
      <c r="K878">
        <f>Table1[[#This Row],[Satış Miktarı]]*Table1[[#This Row],[Satış Fiyatı]]</f>
        <v>65260</v>
      </c>
      <c r="L878" t="s">
        <v>19</v>
      </c>
      <c r="M878" t="s">
        <v>64</v>
      </c>
      <c r="N878" t="s">
        <v>21</v>
      </c>
      <c r="O878">
        <v>0.2</v>
      </c>
      <c r="P878" t="s">
        <v>27</v>
      </c>
      <c r="Q878" t="s">
        <v>80</v>
      </c>
    </row>
    <row r="879" spans="1:17">
      <c r="A879">
        <v>923785387</v>
      </c>
      <c r="B879" t="s">
        <v>51</v>
      </c>
      <c r="C879" t="s">
        <v>17</v>
      </c>
      <c r="D879" s="1">
        <v>47521</v>
      </c>
      <c r="E879">
        <v>3234</v>
      </c>
      <c r="F879">
        <v>45</v>
      </c>
      <c r="G879" s="2">
        <v>1.3899999999999999E-2</v>
      </c>
      <c r="H879" s="2">
        <f>Table1[[#This Row],[İade Miktarı]]/Table1[[#This Row],[Satış Miktarı]]</f>
        <v>1.3914656771799629E-2</v>
      </c>
      <c r="I879" t="s">
        <v>87</v>
      </c>
      <c r="J879">
        <v>46</v>
      </c>
      <c r="K879">
        <f>Table1[[#This Row],[Satış Miktarı]]*Table1[[#This Row],[Satış Fiyatı]]</f>
        <v>148764</v>
      </c>
      <c r="L879" t="s">
        <v>88</v>
      </c>
      <c r="M879" t="s">
        <v>68</v>
      </c>
      <c r="N879" t="s">
        <v>78</v>
      </c>
      <c r="O879">
        <v>0.2</v>
      </c>
      <c r="P879" t="s">
        <v>22</v>
      </c>
      <c r="Q879" t="s">
        <v>48</v>
      </c>
    </row>
    <row r="880" spans="1:17">
      <c r="A880">
        <v>684137324</v>
      </c>
      <c r="B880" t="s">
        <v>54</v>
      </c>
      <c r="C880" t="s">
        <v>34</v>
      </c>
      <c r="D880" s="1">
        <v>47500</v>
      </c>
      <c r="E880">
        <v>1434</v>
      </c>
      <c r="F880">
        <v>32</v>
      </c>
      <c r="G880" s="2">
        <v>2.23E-2</v>
      </c>
      <c r="H880" s="2">
        <f>Table1[[#This Row],[İade Miktarı]]/Table1[[#This Row],[Satış Miktarı]]</f>
        <v>2.2315202231520222E-2</v>
      </c>
      <c r="I880" t="s">
        <v>18</v>
      </c>
      <c r="J880">
        <v>34</v>
      </c>
      <c r="K880">
        <f>Table1[[#This Row],[Satış Miktarı]]*Table1[[#This Row],[Satış Fiyatı]]</f>
        <v>48756</v>
      </c>
      <c r="L880" t="s">
        <v>19</v>
      </c>
      <c r="M880" t="s">
        <v>71</v>
      </c>
      <c r="N880" t="s">
        <v>26</v>
      </c>
      <c r="O880">
        <v>0.2</v>
      </c>
      <c r="P880" t="s">
        <v>27</v>
      </c>
      <c r="Q880" t="s">
        <v>62</v>
      </c>
    </row>
    <row r="881" spans="1:17">
      <c r="A881">
        <v>857669741</v>
      </c>
      <c r="B881" t="s">
        <v>57</v>
      </c>
      <c r="C881" t="s">
        <v>34</v>
      </c>
      <c r="D881" s="1">
        <v>47599</v>
      </c>
      <c r="E881">
        <v>1336</v>
      </c>
      <c r="F881">
        <v>24</v>
      </c>
      <c r="G881" s="2">
        <v>1.7999999999999999E-2</v>
      </c>
      <c r="H881" s="2">
        <f>Table1[[#This Row],[İade Miktarı]]/Table1[[#This Row],[Satış Miktarı]]</f>
        <v>1.7964071856287425E-2</v>
      </c>
      <c r="I881" t="s">
        <v>81</v>
      </c>
      <c r="J881">
        <v>24</v>
      </c>
      <c r="K881">
        <f>Table1[[#This Row],[Satış Miktarı]]*Table1[[#This Row],[Satış Fiyatı]]</f>
        <v>32064</v>
      </c>
      <c r="L881" t="s">
        <v>19</v>
      </c>
      <c r="M881" t="s">
        <v>74</v>
      </c>
      <c r="N881" t="s">
        <v>43</v>
      </c>
      <c r="O881">
        <v>0.2</v>
      </c>
      <c r="P881" t="s">
        <v>27</v>
      </c>
      <c r="Q881" t="s">
        <v>53</v>
      </c>
    </row>
    <row r="882" spans="1:17">
      <c r="A882">
        <v>368170608</v>
      </c>
      <c r="B882" t="s">
        <v>59</v>
      </c>
      <c r="C882" t="s">
        <v>17</v>
      </c>
      <c r="D882" s="1">
        <v>47801</v>
      </c>
      <c r="E882">
        <v>1162</v>
      </c>
      <c r="F882">
        <v>37</v>
      </c>
      <c r="G882" s="2">
        <v>3.1800000000000002E-2</v>
      </c>
      <c r="H882" s="2">
        <f>Table1[[#This Row],[İade Miktarı]]/Table1[[#This Row],[Satış Miktarı]]</f>
        <v>3.1841652323580036E-2</v>
      </c>
      <c r="I882" t="s">
        <v>18</v>
      </c>
      <c r="J882">
        <v>29</v>
      </c>
      <c r="K882">
        <f>Table1[[#This Row],[Satış Miktarı]]*Table1[[#This Row],[Satış Fiyatı]]</f>
        <v>33698</v>
      </c>
      <c r="L882" t="s">
        <v>19</v>
      </c>
      <c r="M882" t="s">
        <v>20</v>
      </c>
      <c r="N882" t="s">
        <v>78</v>
      </c>
      <c r="O882">
        <v>0.2</v>
      </c>
      <c r="P882" t="s">
        <v>22</v>
      </c>
      <c r="Q882" t="s">
        <v>23</v>
      </c>
    </row>
    <row r="883" spans="1:17">
      <c r="A883">
        <v>471883708</v>
      </c>
      <c r="B883" t="s">
        <v>63</v>
      </c>
      <c r="C883" t="s">
        <v>17</v>
      </c>
      <c r="D883" s="1">
        <v>48544</v>
      </c>
      <c r="E883">
        <v>4479</v>
      </c>
      <c r="F883">
        <v>33</v>
      </c>
      <c r="G883" s="2">
        <v>7.4000000000000003E-3</v>
      </c>
      <c r="H883" s="2">
        <f>Table1[[#This Row],[İade Miktarı]]/Table1[[#This Row],[Satış Miktarı]]</f>
        <v>7.367716008037508E-3</v>
      </c>
      <c r="I883" t="s">
        <v>18</v>
      </c>
      <c r="J883">
        <v>28</v>
      </c>
      <c r="K883">
        <f>Table1[[#This Row],[Satış Miktarı]]*Table1[[#This Row],[Satış Fiyatı]]</f>
        <v>125412</v>
      </c>
      <c r="L883" t="s">
        <v>19</v>
      </c>
      <c r="M883" t="s">
        <v>25</v>
      </c>
      <c r="N883" t="s">
        <v>43</v>
      </c>
      <c r="O883">
        <v>0.2</v>
      </c>
      <c r="P883" t="s">
        <v>27</v>
      </c>
      <c r="Q883" t="s">
        <v>66</v>
      </c>
    </row>
    <row r="884" spans="1:17">
      <c r="A884">
        <v>181548781</v>
      </c>
      <c r="B884" t="s">
        <v>29</v>
      </c>
      <c r="C884" t="s">
        <v>17</v>
      </c>
      <c r="D884" s="1">
        <v>47977</v>
      </c>
      <c r="E884">
        <v>1871</v>
      </c>
      <c r="F884">
        <v>46</v>
      </c>
      <c r="G884" s="2">
        <v>2.46E-2</v>
      </c>
      <c r="H884" s="2">
        <f>Table1[[#This Row],[İade Miktarı]]/Table1[[#This Row],[Satış Miktarı]]</f>
        <v>2.4585783003741316E-2</v>
      </c>
      <c r="I884" t="s">
        <v>18</v>
      </c>
      <c r="J884">
        <v>36</v>
      </c>
      <c r="K884">
        <f>Table1[[#This Row],[Satış Miktarı]]*Table1[[#This Row],[Satış Fiyatı]]</f>
        <v>67356</v>
      </c>
      <c r="L884" t="s">
        <v>19</v>
      </c>
      <c r="M884" t="s">
        <v>30</v>
      </c>
      <c r="N884" t="s">
        <v>65</v>
      </c>
      <c r="O884">
        <v>0.2</v>
      </c>
      <c r="P884" t="s">
        <v>27</v>
      </c>
      <c r="Q884" t="s">
        <v>69</v>
      </c>
    </row>
    <row r="885" spans="1:17">
      <c r="A885">
        <v>912076876</v>
      </c>
      <c r="B885" t="s">
        <v>33</v>
      </c>
      <c r="C885" t="s">
        <v>34</v>
      </c>
      <c r="D885" s="1">
        <v>47911</v>
      </c>
      <c r="E885">
        <v>1774</v>
      </c>
      <c r="F885">
        <v>20</v>
      </c>
      <c r="G885" s="2">
        <v>1.1299999999999999E-2</v>
      </c>
      <c r="H885" s="2">
        <f>Table1[[#This Row],[İade Miktarı]]/Table1[[#This Row],[Satış Miktarı]]</f>
        <v>1.1273957158962795E-2</v>
      </c>
      <c r="I885" t="s">
        <v>18</v>
      </c>
      <c r="J885">
        <v>50</v>
      </c>
      <c r="K885">
        <f>Table1[[#This Row],[Satış Miktarı]]*Table1[[#This Row],[Satış Fiyatı]]</f>
        <v>88700</v>
      </c>
      <c r="L885" t="s">
        <v>19</v>
      </c>
      <c r="M885" t="s">
        <v>35</v>
      </c>
      <c r="N885" t="s">
        <v>26</v>
      </c>
      <c r="O885">
        <v>0.2</v>
      </c>
      <c r="P885" t="s">
        <v>22</v>
      </c>
      <c r="Q885" t="s">
        <v>79</v>
      </c>
    </row>
    <row r="886" spans="1:17">
      <c r="A886">
        <v>303160500</v>
      </c>
      <c r="B886" t="s">
        <v>37</v>
      </c>
      <c r="C886" t="s">
        <v>34</v>
      </c>
      <c r="D886" s="1">
        <v>48251</v>
      </c>
      <c r="E886">
        <v>4391</v>
      </c>
      <c r="F886">
        <v>21</v>
      </c>
      <c r="G886" s="2">
        <v>4.7999999999999996E-3</v>
      </c>
      <c r="H886" s="2">
        <f>Table1[[#This Row],[İade Miktarı]]/Table1[[#This Row],[Satış Miktarı]]</f>
        <v>4.7825096788886362E-3</v>
      </c>
      <c r="I886" t="s">
        <v>18</v>
      </c>
      <c r="J886">
        <v>33</v>
      </c>
      <c r="K886">
        <f>Table1[[#This Row],[Satış Miktarı]]*Table1[[#This Row],[Satış Fiyatı]]</f>
        <v>144903</v>
      </c>
      <c r="L886" t="s">
        <v>19</v>
      </c>
      <c r="M886" t="s">
        <v>38</v>
      </c>
      <c r="N886" t="s">
        <v>47</v>
      </c>
      <c r="O886">
        <v>0.2</v>
      </c>
      <c r="P886" t="s">
        <v>22</v>
      </c>
      <c r="Q886" t="s">
        <v>77</v>
      </c>
    </row>
    <row r="887" spans="1:17">
      <c r="A887">
        <v>427396008</v>
      </c>
      <c r="B887" t="s">
        <v>41</v>
      </c>
      <c r="C887" t="s">
        <v>17</v>
      </c>
      <c r="D887" s="1">
        <v>47761</v>
      </c>
      <c r="E887">
        <v>4800</v>
      </c>
      <c r="F887">
        <v>17</v>
      </c>
      <c r="G887" s="2">
        <v>3.5000000000000001E-3</v>
      </c>
      <c r="H887" s="2">
        <f>Table1[[#This Row],[İade Miktarı]]/Table1[[#This Row],[Satış Miktarı]]</f>
        <v>3.5416666666666665E-3</v>
      </c>
      <c r="I887" t="s">
        <v>18</v>
      </c>
      <c r="J887">
        <v>49</v>
      </c>
      <c r="K887">
        <f>Table1[[#This Row],[Satış Miktarı]]*Table1[[#This Row],[Satış Fiyatı]]</f>
        <v>235200</v>
      </c>
      <c r="L887" t="s">
        <v>19</v>
      </c>
      <c r="M887" t="s">
        <v>42</v>
      </c>
      <c r="N887" t="s">
        <v>31</v>
      </c>
      <c r="O887">
        <v>0.2</v>
      </c>
      <c r="P887" t="s">
        <v>22</v>
      </c>
      <c r="Q887" t="s">
        <v>72</v>
      </c>
    </row>
    <row r="888" spans="1:17">
      <c r="A888">
        <v>342992261</v>
      </c>
      <c r="B888" t="s">
        <v>44</v>
      </c>
      <c r="C888" t="s">
        <v>17</v>
      </c>
      <c r="D888" s="1">
        <v>47946</v>
      </c>
      <c r="E888">
        <v>4914</v>
      </c>
      <c r="F888">
        <v>37</v>
      </c>
      <c r="G888" s="2">
        <v>7.4999999999999997E-3</v>
      </c>
      <c r="H888" s="2">
        <f>Table1[[#This Row],[İade Miktarı]]/Table1[[#This Row],[Satış Miktarı]]</f>
        <v>7.5295075295075294E-3</v>
      </c>
      <c r="I888" t="s">
        <v>18</v>
      </c>
      <c r="J888">
        <v>44</v>
      </c>
      <c r="K888">
        <f>Table1[[#This Row],[Satış Miktarı]]*Table1[[#This Row],[Satış Fiyatı]]</f>
        <v>216216</v>
      </c>
      <c r="L888" t="s">
        <v>19</v>
      </c>
      <c r="M888" t="s">
        <v>46</v>
      </c>
      <c r="N888" t="s">
        <v>26</v>
      </c>
      <c r="O888">
        <v>0.2</v>
      </c>
      <c r="P888" t="s">
        <v>27</v>
      </c>
      <c r="Q888" t="s">
        <v>82</v>
      </c>
    </row>
    <row r="889" spans="1:17">
      <c r="A889">
        <v>28069075</v>
      </c>
      <c r="B889" t="s">
        <v>49</v>
      </c>
      <c r="C889" t="s">
        <v>34</v>
      </c>
      <c r="D889" s="1">
        <v>48170</v>
      </c>
      <c r="E889">
        <v>3329</v>
      </c>
      <c r="F889">
        <v>40</v>
      </c>
      <c r="G889" s="2">
        <v>1.2E-2</v>
      </c>
      <c r="H889" s="2">
        <f>Table1[[#This Row],[İade Miktarı]]/Table1[[#This Row],[Satış Miktarı]]</f>
        <v>1.2015620306398318E-2</v>
      </c>
      <c r="I889" t="s">
        <v>18</v>
      </c>
      <c r="J889">
        <v>36</v>
      </c>
      <c r="K889">
        <f>Table1[[#This Row],[Satış Miktarı]]*Table1[[#This Row],[Satış Fiyatı]]</f>
        <v>119844</v>
      </c>
      <c r="L889" t="s">
        <v>19</v>
      </c>
      <c r="M889" t="s">
        <v>46</v>
      </c>
      <c r="N889" t="s">
        <v>21</v>
      </c>
      <c r="O889">
        <v>0.2</v>
      </c>
      <c r="P889" t="s">
        <v>22</v>
      </c>
      <c r="Q889" t="s">
        <v>36</v>
      </c>
    </row>
    <row r="890" spans="1:17">
      <c r="A890">
        <v>295597233</v>
      </c>
      <c r="B890" t="s">
        <v>51</v>
      </c>
      <c r="C890" t="s">
        <v>17</v>
      </c>
      <c r="D890" s="1">
        <v>48182</v>
      </c>
      <c r="E890">
        <v>1632</v>
      </c>
      <c r="F890">
        <v>31</v>
      </c>
      <c r="G890" s="2">
        <v>1.9E-2</v>
      </c>
      <c r="H890" s="2">
        <f>Table1[[#This Row],[İade Miktarı]]/Table1[[#This Row],[Satış Miktarı]]</f>
        <v>1.8995098039215685E-2</v>
      </c>
      <c r="I890" t="s">
        <v>18</v>
      </c>
      <c r="J890">
        <v>30</v>
      </c>
      <c r="K890">
        <f>Table1[[#This Row],[Satış Miktarı]]*Table1[[#This Row],[Satış Fiyatı]]</f>
        <v>48960</v>
      </c>
      <c r="L890" t="s">
        <v>19</v>
      </c>
      <c r="M890" t="s">
        <v>52</v>
      </c>
      <c r="N890" t="s">
        <v>47</v>
      </c>
      <c r="O890">
        <v>0.2</v>
      </c>
      <c r="P890" t="s">
        <v>22</v>
      </c>
      <c r="Q890" t="s">
        <v>72</v>
      </c>
    </row>
    <row r="891" spans="1:17">
      <c r="A891">
        <v>543346843</v>
      </c>
      <c r="B891" t="s">
        <v>54</v>
      </c>
      <c r="C891" t="s">
        <v>34</v>
      </c>
      <c r="D891" s="1">
        <v>48156</v>
      </c>
      <c r="E891">
        <v>3580</v>
      </c>
      <c r="F891">
        <v>42</v>
      </c>
      <c r="G891" s="2">
        <v>1.17E-2</v>
      </c>
      <c r="H891" s="2">
        <f>Table1[[#This Row],[İade Miktarı]]/Table1[[#This Row],[Satış Miktarı]]</f>
        <v>1.1731843575418994E-2</v>
      </c>
      <c r="I891" t="s">
        <v>18</v>
      </c>
      <c r="J891">
        <v>23</v>
      </c>
      <c r="K891">
        <f>Table1[[#This Row],[Satış Miktarı]]*Table1[[#This Row],[Satış Fiyatı]]</f>
        <v>82340</v>
      </c>
      <c r="L891" t="s">
        <v>19</v>
      </c>
      <c r="M891" t="s">
        <v>55</v>
      </c>
      <c r="N891" t="s">
        <v>61</v>
      </c>
      <c r="O891">
        <v>0.2</v>
      </c>
      <c r="P891" t="s">
        <v>27</v>
      </c>
      <c r="Q891" t="s">
        <v>56</v>
      </c>
    </row>
    <row r="892" spans="1:17">
      <c r="A892">
        <v>963686162</v>
      </c>
      <c r="B892" t="s">
        <v>57</v>
      </c>
      <c r="C892" t="s">
        <v>34</v>
      </c>
      <c r="D892" s="1">
        <v>47682</v>
      </c>
      <c r="E892">
        <v>4538</v>
      </c>
      <c r="F892">
        <v>42</v>
      </c>
      <c r="G892" s="2">
        <v>9.2999999999999992E-3</v>
      </c>
      <c r="H892" s="2">
        <f>Table1[[#This Row],[İade Miktarı]]/Table1[[#This Row],[Satış Miktarı]]</f>
        <v>9.2551784927280747E-3</v>
      </c>
      <c r="I892" t="s">
        <v>18</v>
      </c>
      <c r="J892">
        <v>23</v>
      </c>
      <c r="K892">
        <f>Table1[[#This Row],[Satış Miktarı]]*Table1[[#This Row],[Satış Fiyatı]]</f>
        <v>104374</v>
      </c>
      <c r="L892" t="s">
        <v>19</v>
      </c>
      <c r="M892" t="s">
        <v>58</v>
      </c>
      <c r="N892" t="s">
        <v>76</v>
      </c>
      <c r="O892">
        <v>0.2</v>
      </c>
      <c r="P892" t="s">
        <v>27</v>
      </c>
      <c r="Q892" t="s">
        <v>66</v>
      </c>
    </row>
    <row r="893" spans="1:17">
      <c r="A893">
        <v>919391215</v>
      </c>
      <c r="B893" t="s">
        <v>59</v>
      </c>
      <c r="C893" t="s">
        <v>17</v>
      </c>
      <c r="D893" s="1">
        <v>48459</v>
      </c>
      <c r="E893">
        <v>2181</v>
      </c>
      <c r="F893">
        <v>18</v>
      </c>
      <c r="G893" s="2">
        <v>8.3000000000000001E-3</v>
      </c>
      <c r="H893" s="2">
        <f>Table1[[#This Row],[İade Miktarı]]/Table1[[#This Row],[Satış Miktarı]]</f>
        <v>8.253094910591471E-3</v>
      </c>
      <c r="I893" t="s">
        <v>18</v>
      </c>
      <c r="J893">
        <v>21</v>
      </c>
      <c r="K893">
        <f>Table1[[#This Row],[Satış Miktarı]]*Table1[[#This Row],[Satış Fiyatı]]</f>
        <v>45801</v>
      </c>
      <c r="L893" t="s">
        <v>19</v>
      </c>
      <c r="M893" t="s">
        <v>60</v>
      </c>
      <c r="N893" t="s">
        <v>50</v>
      </c>
      <c r="O893">
        <v>0.2</v>
      </c>
      <c r="P893" t="s">
        <v>27</v>
      </c>
      <c r="Q893" t="s">
        <v>79</v>
      </c>
    </row>
    <row r="894" spans="1:17">
      <c r="A894">
        <v>996976592</v>
      </c>
      <c r="B894" t="s">
        <v>63</v>
      </c>
      <c r="C894" t="s">
        <v>17</v>
      </c>
      <c r="D894" s="1">
        <v>48285</v>
      </c>
      <c r="E894">
        <v>4100</v>
      </c>
      <c r="F894">
        <v>41</v>
      </c>
      <c r="G894" s="2">
        <v>0.01</v>
      </c>
      <c r="H894" s="2">
        <f>Table1[[#This Row],[İade Miktarı]]/Table1[[#This Row],[Satış Miktarı]]</f>
        <v>0.01</v>
      </c>
      <c r="I894" t="s">
        <v>18</v>
      </c>
      <c r="J894">
        <v>30</v>
      </c>
      <c r="K894">
        <f>Table1[[#This Row],[Satış Miktarı]]*Table1[[#This Row],[Satış Fiyatı]]</f>
        <v>123000</v>
      </c>
      <c r="L894" t="s">
        <v>19</v>
      </c>
      <c r="M894" t="s">
        <v>64</v>
      </c>
      <c r="N894" t="s">
        <v>76</v>
      </c>
      <c r="O894">
        <v>0.2</v>
      </c>
      <c r="P894" t="s">
        <v>27</v>
      </c>
      <c r="Q894" t="s">
        <v>84</v>
      </c>
    </row>
    <row r="895" spans="1:17">
      <c r="A895">
        <v>612505838</v>
      </c>
      <c r="B895" t="s">
        <v>67</v>
      </c>
      <c r="C895" t="s">
        <v>17</v>
      </c>
      <c r="D895" s="1">
        <v>48423</v>
      </c>
      <c r="E895">
        <v>2379</v>
      </c>
      <c r="F895">
        <v>10</v>
      </c>
      <c r="G895" s="2">
        <v>4.1999999999999997E-3</v>
      </c>
      <c r="H895" s="2">
        <f>Table1[[#This Row],[İade Miktarı]]/Table1[[#This Row],[Satış Miktarı]]</f>
        <v>4.2034468263976461E-3</v>
      </c>
      <c r="I895" t="s">
        <v>87</v>
      </c>
      <c r="J895">
        <v>44</v>
      </c>
      <c r="K895">
        <f>Table1[[#This Row],[Satış Miktarı]]*Table1[[#This Row],[Satış Fiyatı]]</f>
        <v>104676</v>
      </c>
      <c r="L895" t="s">
        <v>88</v>
      </c>
      <c r="M895" t="s">
        <v>68</v>
      </c>
      <c r="N895" t="s">
        <v>65</v>
      </c>
      <c r="O895">
        <v>0.2</v>
      </c>
      <c r="P895" t="s">
        <v>22</v>
      </c>
      <c r="Q895" t="s">
        <v>66</v>
      </c>
    </row>
    <row r="896" spans="1:17">
      <c r="A896">
        <v>438933559</v>
      </c>
      <c r="B896" t="s">
        <v>70</v>
      </c>
      <c r="C896" t="s">
        <v>17</v>
      </c>
      <c r="D896" s="1">
        <v>48171</v>
      </c>
      <c r="E896">
        <v>1650</v>
      </c>
      <c r="F896">
        <v>36</v>
      </c>
      <c r="G896" s="2">
        <v>2.18E-2</v>
      </c>
      <c r="H896" s="2">
        <f>Table1[[#This Row],[İade Miktarı]]/Table1[[#This Row],[Satış Miktarı]]</f>
        <v>2.181818181818182E-2</v>
      </c>
      <c r="I896" t="s">
        <v>18</v>
      </c>
      <c r="J896">
        <v>38</v>
      </c>
      <c r="K896">
        <f>Table1[[#This Row],[Satış Miktarı]]*Table1[[#This Row],[Satış Fiyatı]]</f>
        <v>62700</v>
      </c>
      <c r="L896" t="s">
        <v>19</v>
      </c>
      <c r="M896" t="s">
        <v>71</v>
      </c>
      <c r="N896" t="s">
        <v>39</v>
      </c>
      <c r="O896">
        <v>0.2</v>
      </c>
      <c r="P896" t="s">
        <v>27</v>
      </c>
      <c r="Q896" t="s">
        <v>53</v>
      </c>
    </row>
    <row r="897" spans="1:17">
      <c r="A897">
        <v>362712532</v>
      </c>
      <c r="B897" t="s">
        <v>73</v>
      </c>
      <c r="C897" t="s">
        <v>17</v>
      </c>
      <c r="D897" s="1">
        <v>48011</v>
      </c>
      <c r="E897">
        <v>2053</v>
      </c>
      <c r="F897">
        <v>30</v>
      </c>
      <c r="G897" s="2">
        <v>1.46E-2</v>
      </c>
      <c r="H897" s="2">
        <f>Table1[[#This Row],[İade Miktarı]]/Table1[[#This Row],[Satış Miktarı]]</f>
        <v>1.4612761811982464E-2</v>
      </c>
      <c r="I897" t="s">
        <v>18</v>
      </c>
      <c r="J897">
        <v>47</v>
      </c>
      <c r="K897">
        <f>Table1[[#This Row],[Satış Miktarı]]*Table1[[#This Row],[Satış Fiyatı]]</f>
        <v>96491</v>
      </c>
      <c r="L897" t="s">
        <v>19</v>
      </c>
      <c r="M897" t="s">
        <v>74</v>
      </c>
      <c r="N897" t="s">
        <v>50</v>
      </c>
      <c r="O897">
        <v>0.2</v>
      </c>
      <c r="P897" t="s">
        <v>27</v>
      </c>
      <c r="Q897" t="s">
        <v>32</v>
      </c>
    </row>
    <row r="898" spans="1:17">
      <c r="A898">
        <v>395378695</v>
      </c>
      <c r="B898" t="s">
        <v>16</v>
      </c>
      <c r="C898" t="s">
        <v>17</v>
      </c>
      <c r="D898" s="1">
        <v>47484</v>
      </c>
      <c r="E898">
        <v>1995</v>
      </c>
      <c r="F898">
        <v>47</v>
      </c>
      <c r="G898" s="2">
        <v>2.3599999999999999E-2</v>
      </c>
      <c r="H898" s="2">
        <f>Table1[[#This Row],[İade Miktarı]]/Table1[[#This Row],[Satış Miktarı]]</f>
        <v>2.3558897243107769E-2</v>
      </c>
      <c r="I898" t="s">
        <v>18</v>
      </c>
      <c r="J898">
        <v>20</v>
      </c>
      <c r="K898">
        <f>Table1[[#This Row],[Satış Miktarı]]*Table1[[#This Row],[Satış Fiyatı]]</f>
        <v>39900</v>
      </c>
      <c r="L898" t="s">
        <v>19</v>
      </c>
      <c r="M898" t="s">
        <v>20</v>
      </c>
      <c r="N898" t="s">
        <v>21</v>
      </c>
      <c r="O898">
        <v>0.2</v>
      </c>
      <c r="P898" t="s">
        <v>27</v>
      </c>
      <c r="Q898" t="s">
        <v>62</v>
      </c>
    </row>
    <row r="899" spans="1:17">
      <c r="A899">
        <v>581798529</v>
      </c>
      <c r="B899" t="s">
        <v>24</v>
      </c>
      <c r="C899" t="s">
        <v>17</v>
      </c>
      <c r="D899" s="1">
        <v>48086</v>
      </c>
      <c r="E899">
        <v>1456</v>
      </c>
      <c r="F899">
        <v>19</v>
      </c>
      <c r="G899" s="2">
        <v>1.2999999999999999E-2</v>
      </c>
      <c r="H899" s="2">
        <f>Table1[[#This Row],[İade Miktarı]]/Table1[[#This Row],[Satış Miktarı]]</f>
        <v>1.304945054945055E-2</v>
      </c>
      <c r="I899" t="s">
        <v>18</v>
      </c>
      <c r="J899">
        <v>32</v>
      </c>
      <c r="K899">
        <f>Table1[[#This Row],[Satış Miktarı]]*Table1[[#This Row],[Satış Fiyatı]]</f>
        <v>46592</v>
      </c>
      <c r="L899" t="s">
        <v>19</v>
      </c>
      <c r="M899" t="s">
        <v>25</v>
      </c>
      <c r="N899" t="s">
        <v>26</v>
      </c>
      <c r="O899">
        <v>0.2</v>
      </c>
      <c r="P899" t="s">
        <v>22</v>
      </c>
      <c r="Q899" t="s">
        <v>28</v>
      </c>
    </row>
    <row r="900" spans="1:17">
      <c r="A900">
        <v>98473024</v>
      </c>
      <c r="B900" t="s">
        <v>29</v>
      </c>
      <c r="C900" t="s">
        <v>17</v>
      </c>
      <c r="D900" s="1">
        <v>48264</v>
      </c>
      <c r="E900">
        <v>1234</v>
      </c>
      <c r="F900">
        <v>22</v>
      </c>
      <c r="G900" s="2">
        <v>1.78E-2</v>
      </c>
      <c r="H900" s="2">
        <f>Table1[[#This Row],[İade Miktarı]]/Table1[[#This Row],[Satış Miktarı]]</f>
        <v>1.7828200972447326E-2</v>
      </c>
      <c r="I900" t="s">
        <v>18</v>
      </c>
      <c r="J900">
        <v>48</v>
      </c>
      <c r="K900">
        <f>Table1[[#This Row],[Satış Miktarı]]*Table1[[#This Row],[Satış Fiyatı]]</f>
        <v>59232</v>
      </c>
      <c r="L900" t="s">
        <v>19</v>
      </c>
      <c r="M900" t="s">
        <v>30</v>
      </c>
      <c r="N900" t="s">
        <v>43</v>
      </c>
      <c r="O900">
        <v>0.2</v>
      </c>
      <c r="P900" t="s">
        <v>22</v>
      </c>
      <c r="Q900" t="s">
        <v>77</v>
      </c>
    </row>
    <row r="901" spans="1:17">
      <c r="A901">
        <v>920152379</v>
      </c>
      <c r="B901" t="s">
        <v>33</v>
      </c>
      <c r="C901" t="s">
        <v>34</v>
      </c>
      <c r="D901" s="1">
        <v>47883</v>
      </c>
      <c r="E901">
        <v>2571</v>
      </c>
      <c r="F901">
        <v>13</v>
      </c>
      <c r="G901" s="2">
        <v>5.1000000000000004E-3</v>
      </c>
      <c r="H901" s="2">
        <f>Table1[[#This Row],[İade Miktarı]]/Table1[[#This Row],[Satış Miktarı]]</f>
        <v>5.0563982886036559E-3</v>
      </c>
      <c r="I901" t="s">
        <v>18</v>
      </c>
      <c r="J901">
        <v>50</v>
      </c>
      <c r="K901">
        <f>Table1[[#This Row],[Satış Miktarı]]*Table1[[#This Row],[Satış Fiyatı]]</f>
        <v>128550</v>
      </c>
      <c r="L901" t="s">
        <v>19</v>
      </c>
      <c r="M901" t="s">
        <v>35</v>
      </c>
      <c r="N901" t="s">
        <v>21</v>
      </c>
      <c r="O901">
        <v>0.2</v>
      </c>
      <c r="P901" t="s">
        <v>22</v>
      </c>
      <c r="Q901" t="s">
        <v>84</v>
      </c>
    </row>
    <row r="902" spans="1:17">
      <c r="A902">
        <v>535286219</v>
      </c>
      <c r="B902" t="s">
        <v>37</v>
      </c>
      <c r="C902" t="s">
        <v>34</v>
      </c>
      <c r="D902" s="1">
        <v>47807</v>
      </c>
      <c r="E902">
        <v>1909</v>
      </c>
      <c r="F902">
        <v>28</v>
      </c>
      <c r="G902" s="2">
        <v>1.47E-2</v>
      </c>
      <c r="H902" s="2">
        <f>Table1[[#This Row],[İade Miktarı]]/Table1[[#This Row],[Satış Miktarı]]</f>
        <v>1.4667365112624411E-2</v>
      </c>
      <c r="I902" t="s">
        <v>18</v>
      </c>
      <c r="J902">
        <v>43</v>
      </c>
      <c r="K902">
        <f>Table1[[#This Row],[Satış Miktarı]]*Table1[[#This Row],[Satış Fiyatı]]</f>
        <v>82087</v>
      </c>
      <c r="L902" t="s">
        <v>19</v>
      </c>
      <c r="M902" t="s">
        <v>38</v>
      </c>
      <c r="N902" t="s">
        <v>50</v>
      </c>
      <c r="O902">
        <v>0.2</v>
      </c>
      <c r="P902" t="s">
        <v>27</v>
      </c>
      <c r="Q902" t="s">
        <v>36</v>
      </c>
    </row>
    <row r="903" spans="1:17">
      <c r="A903">
        <v>399029670</v>
      </c>
      <c r="B903" t="s">
        <v>41</v>
      </c>
      <c r="C903" t="s">
        <v>17</v>
      </c>
      <c r="D903" s="1">
        <v>47751</v>
      </c>
      <c r="E903">
        <v>2957</v>
      </c>
      <c r="F903">
        <v>30</v>
      </c>
      <c r="G903" s="2">
        <v>1.01E-2</v>
      </c>
      <c r="H903" s="2">
        <f>Table1[[#This Row],[İade Miktarı]]/Table1[[#This Row],[Satış Miktarı]]</f>
        <v>1.0145417653026716E-2</v>
      </c>
      <c r="I903" t="s">
        <v>45</v>
      </c>
      <c r="J903">
        <v>27</v>
      </c>
      <c r="K903">
        <f>Table1[[#This Row],[Satış Miktarı]]*Table1[[#This Row],[Satış Fiyatı]]</f>
        <v>79839</v>
      </c>
      <c r="L903" t="s">
        <v>19</v>
      </c>
      <c r="M903" t="s">
        <v>42</v>
      </c>
      <c r="N903" t="s">
        <v>21</v>
      </c>
      <c r="O903">
        <v>0.2</v>
      </c>
      <c r="P903" t="s">
        <v>22</v>
      </c>
      <c r="Q903" t="s">
        <v>83</v>
      </c>
    </row>
    <row r="904" spans="1:17">
      <c r="A904">
        <v>534771778</v>
      </c>
      <c r="B904" t="s">
        <v>44</v>
      </c>
      <c r="C904" t="s">
        <v>17</v>
      </c>
      <c r="D904" s="1">
        <v>47797</v>
      </c>
      <c r="E904">
        <v>2483</v>
      </c>
      <c r="F904">
        <v>34</v>
      </c>
      <c r="G904" s="2">
        <v>1.37E-2</v>
      </c>
      <c r="H904" s="2">
        <f>Table1[[#This Row],[İade Miktarı]]/Table1[[#This Row],[Satış Miktarı]]</f>
        <v>1.369311316955296E-2</v>
      </c>
      <c r="I904" t="s">
        <v>18</v>
      </c>
      <c r="J904">
        <v>25</v>
      </c>
      <c r="K904">
        <f>Table1[[#This Row],[Satış Miktarı]]*Table1[[#This Row],[Satış Fiyatı]]</f>
        <v>62075</v>
      </c>
      <c r="L904" t="s">
        <v>19</v>
      </c>
      <c r="M904" t="s">
        <v>46</v>
      </c>
      <c r="N904" t="s">
        <v>61</v>
      </c>
      <c r="O904">
        <v>0.2</v>
      </c>
      <c r="P904" t="s">
        <v>27</v>
      </c>
      <c r="Q904" t="s">
        <v>79</v>
      </c>
    </row>
    <row r="905" spans="1:17">
      <c r="A905">
        <v>632357981</v>
      </c>
      <c r="B905" t="s">
        <v>49</v>
      </c>
      <c r="C905" t="s">
        <v>34</v>
      </c>
      <c r="D905" s="1">
        <v>47671</v>
      </c>
      <c r="E905">
        <v>4693</v>
      </c>
      <c r="F905">
        <v>30</v>
      </c>
      <c r="G905" s="2">
        <v>6.4000000000000003E-3</v>
      </c>
      <c r="H905" s="2">
        <f>Table1[[#This Row],[İade Miktarı]]/Table1[[#This Row],[Satış Miktarı]]</f>
        <v>6.3924994672917108E-3</v>
      </c>
      <c r="I905" t="s">
        <v>18</v>
      </c>
      <c r="J905">
        <v>23</v>
      </c>
      <c r="K905">
        <f>Table1[[#This Row],[Satış Miktarı]]*Table1[[#This Row],[Satış Fiyatı]]</f>
        <v>107939</v>
      </c>
      <c r="L905" t="s">
        <v>19</v>
      </c>
      <c r="M905" t="s">
        <v>46</v>
      </c>
      <c r="N905" t="s">
        <v>65</v>
      </c>
      <c r="O905">
        <v>0.2</v>
      </c>
      <c r="P905" t="s">
        <v>27</v>
      </c>
      <c r="Q905" t="s">
        <v>72</v>
      </c>
    </row>
    <row r="906" spans="1:17">
      <c r="A906">
        <v>422928386</v>
      </c>
      <c r="B906" t="s">
        <v>51</v>
      </c>
      <c r="C906" t="s">
        <v>17</v>
      </c>
      <c r="D906" s="1">
        <v>47835</v>
      </c>
      <c r="E906">
        <v>3733</v>
      </c>
      <c r="F906">
        <v>48</v>
      </c>
      <c r="G906" s="2">
        <v>1.29E-2</v>
      </c>
      <c r="H906" s="2">
        <f>Table1[[#This Row],[İade Miktarı]]/Table1[[#This Row],[Satış Miktarı]]</f>
        <v>1.2858290918832038E-2</v>
      </c>
      <c r="I906" t="s">
        <v>18</v>
      </c>
      <c r="J906">
        <v>42</v>
      </c>
      <c r="K906">
        <f>Table1[[#This Row],[Satış Miktarı]]*Table1[[#This Row],[Satış Fiyatı]]</f>
        <v>156786</v>
      </c>
      <c r="L906" t="s">
        <v>19</v>
      </c>
      <c r="M906" t="s">
        <v>52</v>
      </c>
      <c r="N906" t="s">
        <v>50</v>
      </c>
      <c r="O906">
        <v>0.2</v>
      </c>
      <c r="P906" t="s">
        <v>27</v>
      </c>
      <c r="Q906" t="s">
        <v>32</v>
      </c>
    </row>
    <row r="907" spans="1:17">
      <c r="A907">
        <v>555759879</v>
      </c>
      <c r="B907" t="s">
        <v>54</v>
      </c>
      <c r="C907" t="s">
        <v>34</v>
      </c>
      <c r="D907" s="1">
        <v>48248</v>
      </c>
      <c r="E907">
        <v>1881</v>
      </c>
      <c r="F907">
        <v>43</v>
      </c>
      <c r="G907" s="2">
        <v>2.29E-2</v>
      </c>
      <c r="H907" s="2">
        <f>Table1[[#This Row],[İade Miktarı]]/Table1[[#This Row],[Satış Miktarı]]</f>
        <v>2.2860180754917598E-2</v>
      </c>
      <c r="I907" t="s">
        <v>18</v>
      </c>
      <c r="J907">
        <v>27</v>
      </c>
      <c r="K907">
        <f>Table1[[#This Row],[Satış Miktarı]]*Table1[[#This Row],[Satış Fiyatı]]</f>
        <v>50787</v>
      </c>
      <c r="L907" t="s">
        <v>19</v>
      </c>
      <c r="M907" t="s">
        <v>55</v>
      </c>
      <c r="N907" t="s">
        <v>50</v>
      </c>
      <c r="O907">
        <v>0.2</v>
      </c>
      <c r="P907" t="s">
        <v>27</v>
      </c>
      <c r="Q907" t="s">
        <v>82</v>
      </c>
    </row>
    <row r="908" spans="1:17">
      <c r="A908">
        <v>932651065</v>
      </c>
      <c r="B908" t="s">
        <v>57</v>
      </c>
      <c r="C908" t="s">
        <v>34</v>
      </c>
      <c r="D908" s="1">
        <v>47600</v>
      </c>
      <c r="E908">
        <v>4159</v>
      </c>
      <c r="F908">
        <v>12</v>
      </c>
      <c r="G908" s="2">
        <v>2.8999999999999998E-3</v>
      </c>
      <c r="H908" s="2">
        <f>Table1[[#This Row],[İade Miktarı]]/Table1[[#This Row],[Satış Miktarı]]</f>
        <v>2.8853089685020438E-3</v>
      </c>
      <c r="I908" t="s">
        <v>18</v>
      </c>
      <c r="J908">
        <v>43</v>
      </c>
      <c r="K908">
        <f>Table1[[#This Row],[Satış Miktarı]]*Table1[[#This Row],[Satış Fiyatı]]</f>
        <v>178837</v>
      </c>
      <c r="L908" t="s">
        <v>19</v>
      </c>
      <c r="M908" t="s">
        <v>58</v>
      </c>
      <c r="N908" t="s">
        <v>47</v>
      </c>
      <c r="O908">
        <v>0.2</v>
      </c>
      <c r="P908" t="s">
        <v>27</v>
      </c>
      <c r="Q908" t="s">
        <v>48</v>
      </c>
    </row>
    <row r="909" spans="1:17">
      <c r="A909">
        <v>44262572</v>
      </c>
      <c r="B909" t="s">
        <v>59</v>
      </c>
      <c r="C909" t="s">
        <v>17</v>
      </c>
      <c r="D909" s="1">
        <v>47990</v>
      </c>
      <c r="E909">
        <v>2950</v>
      </c>
      <c r="F909">
        <v>37</v>
      </c>
      <c r="G909" s="2">
        <v>1.2500000000000001E-2</v>
      </c>
      <c r="H909" s="2">
        <f>Table1[[#This Row],[İade Miktarı]]/Table1[[#This Row],[Satış Miktarı]]</f>
        <v>1.2542372881355932E-2</v>
      </c>
      <c r="I909" t="s">
        <v>18</v>
      </c>
      <c r="J909">
        <v>46</v>
      </c>
      <c r="K909">
        <f>Table1[[#This Row],[Satış Miktarı]]*Table1[[#This Row],[Satış Fiyatı]]</f>
        <v>135700</v>
      </c>
      <c r="L909" t="s">
        <v>19</v>
      </c>
      <c r="M909" t="s">
        <v>60</v>
      </c>
      <c r="N909" t="s">
        <v>21</v>
      </c>
      <c r="O909">
        <v>0.2</v>
      </c>
      <c r="P909" t="s">
        <v>27</v>
      </c>
      <c r="Q909" t="s">
        <v>36</v>
      </c>
    </row>
    <row r="910" spans="1:17">
      <c r="A910">
        <v>895483051</v>
      </c>
      <c r="B910" t="s">
        <v>63</v>
      </c>
      <c r="C910" t="s">
        <v>17</v>
      </c>
      <c r="D910" s="1">
        <v>47530</v>
      </c>
      <c r="E910">
        <v>4533</v>
      </c>
      <c r="F910">
        <v>18</v>
      </c>
      <c r="G910" s="2">
        <v>4.0000000000000001E-3</v>
      </c>
      <c r="H910" s="2">
        <f>Table1[[#This Row],[İade Miktarı]]/Table1[[#This Row],[Satış Miktarı]]</f>
        <v>3.9708802117802778E-3</v>
      </c>
      <c r="I910" t="s">
        <v>18</v>
      </c>
      <c r="J910">
        <v>47</v>
      </c>
      <c r="K910">
        <f>Table1[[#This Row],[Satış Miktarı]]*Table1[[#This Row],[Satış Fiyatı]]</f>
        <v>213051</v>
      </c>
      <c r="L910" t="s">
        <v>19</v>
      </c>
      <c r="M910" t="s">
        <v>64</v>
      </c>
      <c r="N910" t="s">
        <v>78</v>
      </c>
      <c r="O910">
        <v>0.2</v>
      </c>
      <c r="P910" t="s">
        <v>22</v>
      </c>
      <c r="Q910" t="s">
        <v>84</v>
      </c>
    </row>
    <row r="911" spans="1:17">
      <c r="A911">
        <v>810685694</v>
      </c>
      <c r="B911" t="s">
        <v>67</v>
      </c>
      <c r="C911" t="s">
        <v>17</v>
      </c>
      <c r="D911" s="1">
        <v>47642</v>
      </c>
      <c r="E911">
        <v>2718</v>
      </c>
      <c r="F911">
        <v>42</v>
      </c>
      <c r="G911" s="2">
        <v>1.55E-2</v>
      </c>
      <c r="H911" s="2">
        <f>Table1[[#This Row],[İade Miktarı]]/Table1[[#This Row],[Satış Miktarı]]</f>
        <v>1.5452538631346579E-2</v>
      </c>
      <c r="I911" t="s">
        <v>18</v>
      </c>
      <c r="J911">
        <v>21</v>
      </c>
      <c r="K911">
        <f>Table1[[#This Row],[Satış Miktarı]]*Table1[[#This Row],[Satış Fiyatı]]</f>
        <v>57078</v>
      </c>
      <c r="L911" t="s">
        <v>19</v>
      </c>
      <c r="M911" t="s">
        <v>68</v>
      </c>
      <c r="N911" t="s">
        <v>21</v>
      </c>
      <c r="O911">
        <v>0.2</v>
      </c>
      <c r="P911" t="s">
        <v>22</v>
      </c>
      <c r="Q911" t="s">
        <v>40</v>
      </c>
    </row>
    <row r="912" spans="1:17">
      <c r="A912">
        <v>850158395</v>
      </c>
      <c r="B912" t="s">
        <v>70</v>
      </c>
      <c r="C912" t="s">
        <v>17</v>
      </c>
      <c r="D912" s="1">
        <v>48397</v>
      </c>
      <c r="E912">
        <v>2743</v>
      </c>
      <c r="F912">
        <v>44</v>
      </c>
      <c r="G912" s="2">
        <v>1.6E-2</v>
      </c>
      <c r="H912" s="2">
        <f>Table1[[#This Row],[İade Miktarı]]/Table1[[#This Row],[Satış Miktarı]]</f>
        <v>1.6040831206707983E-2</v>
      </c>
      <c r="I912" t="s">
        <v>18</v>
      </c>
      <c r="J912">
        <v>25</v>
      </c>
      <c r="K912">
        <f>Table1[[#This Row],[Satış Miktarı]]*Table1[[#This Row],[Satış Fiyatı]]</f>
        <v>68575</v>
      </c>
      <c r="L912" t="s">
        <v>19</v>
      </c>
      <c r="M912" t="s">
        <v>71</v>
      </c>
      <c r="N912" t="s">
        <v>31</v>
      </c>
      <c r="O912">
        <v>0.2</v>
      </c>
      <c r="P912" t="s">
        <v>22</v>
      </c>
      <c r="Q912" t="s">
        <v>53</v>
      </c>
    </row>
    <row r="913" spans="1:17">
      <c r="A913">
        <v>242737187</v>
      </c>
      <c r="B913" t="s">
        <v>73</v>
      </c>
      <c r="C913" t="s">
        <v>17</v>
      </c>
      <c r="D913" s="1">
        <v>47519</v>
      </c>
      <c r="E913">
        <v>2740</v>
      </c>
      <c r="F913">
        <v>36</v>
      </c>
      <c r="G913" s="2">
        <v>1.3100000000000001E-2</v>
      </c>
      <c r="H913" s="2">
        <f>Table1[[#This Row],[İade Miktarı]]/Table1[[#This Row],[Satış Miktarı]]</f>
        <v>1.3138686131386862E-2</v>
      </c>
      <c r="I913" t="s">
        <v>18</v>
      </c>
      <c r="J913">
        <v>34</v>
      </c>
      <c r="K913">
        <f>Table1[[#This Row],[Satış Miktarı]]*Table1[[#This Row],[Satış Fiyatı]]</f>
        <v>93160</v>
      </c>
      <c r="L913" t="s">
        <v>19</v>
      </c>
      <c r="M913" t="s">
        <v>74</v>
      </c>
      <c r="N913" t="s">
        <v>76</v>
      </c>
      <c r="O913">
        <v>0.2</v>
      </c>
      <c r="P913" t="s">
        <v>27</v>
      </c>
      <c r="Q913" t="s">
        <v>82</v>
      </c>
    </row>
    <row r="914" spans="1:17">
      <c r="A914">
        <v>789712520</v>
      </c>
      <c r="B914" t="s">
        <v>16</v>
      </c>
      <c r="C914" t="s">
        <v>17</v>
      </c>
      <c r="D914" s="1">
        <v>47557</v>
      </c>
      <c r="E914">
        <v>4756</v>
      </c>
      <c r="F914">
        <v>44</v>
      </c>
      <c r="G914" s="2">
        <v>9.2999999999999992E-3</v>
      </c>
      <c r="H914" s="2">
        <f>Table1[[#This Row],[İade Miktarı]]/Table1[[#This Row],[Satış Miktarı]]</f>
        <v>9.2514718250630776E-3</v>
      </c>
      <c r="I914" t="s">
        <v>18</v>
      </c>
      <c r="J914">
        <v>42</v>
      </c>
      <c r="K914">
        <f>Table1[[#This Row],[Satış Miktarı]]*Table1[[#This Row],[Satış Fiyatı]]</f>
        <v>199752</v>
      </c>
      <c r="L914" t="s">
        <v>19</v>
      </c>
      <c r="M914" t="s">
        <v>20</v>
      </c>
      <c r="N914" t="s">
        <v>50</v>
      </c>
      <c r="O914">
        <v>0.2</v>
      </c>
      <c r="P914" t="s">
        <v>27</v>
      </c>
      <c r="Q914" t="s">
        <v>28</v>
      </c>
    </row>
    <row r="915" spans="1:17">
      <c r="A915">
        <v>274736779</v>
      </c>
      <c r="B915" t="s">
        <v>24</v>
      </c>
      <c r="C915" t="s">
        <v>17</v>
      </c>
      <c r="D915" s="1">
        <v>47912</v>
      </c>
      <c r="E915">
        <v>2311</v>
      </c>
      <c r="F915">
        <v>31</v>
      </c>
      <c r="G915" s="2">
        <v>1.34E-2</v>
      </c>
      <c r="H915" s="2">
        <f>Table1[[#This Row],[İade Miktarı]]/Table1[[#This Row],[Satış Miktarı]]</f>
        <v>1.3414106447425357E-2</v>
      </c>
      <c r="I915" t="s">
        <v>18</v>
      </c>
      <c r="J915">
        <v>32</v>
      </c>
      <c r="K915">
        <f>Table1[[#This Row],[Satış Miktarı]]*Table1[[#This Row],[Satış Fiyatı]]</f>
        <v>73952</v>
      </c>
      <c r="L915" t="s">
        <v>19</v>
      </c>
      <c r="M915" t="s">
        <v>25</v>
      </c>
      <c r="N915" t="s">
        <v>43</v>
      </c>
      <c r="O915">
        <v>0.2</v>
      </c>
      <c r="P915" t="s">
        <v>27</v>
      </c>
      <c r="Q915" t="s">
        <v>83</v>
      </c>
    </row>
    <row r="916" spans="1:17">
      <c r="A916">
        <v>892878884</v>
      </c>
      <c r="B916" t="s">
        <v>29</v>
      </c>
      <c r="C916" t="s">
        <v>17</v>
      </c>
      <c r="D916" s="1">
        <v>48021</v>
      </c>
      <c r="E916">
        <v>1928</v>
      </c>
      <c r="F916">
        <v>47</v>
      </c>
      <c r="G916" s="2">
        <v>2.4400000000000002E-2</v>
      </c>
      <c r="H916" s="2">
        <f>Table1[[#This Row],[İade Miktarı]]/Table1[[#This Row],[Satış Miktarı]]</f>
        <v>2.4377593360995851E-2</v>
      </c>
      <c r="I916" t="s">
        <v>18</v>
      </c>
      <c r="J916">
        <v>22</v>
      </c>
      <c r="K916">
        <f>Table1[[#This Row],[Satış Miktarı]]*Table1[[#This Row],[Satış Fiyatı]]</f>
        <v>42416</v>
      </c>
      <c r="L916" t="s">
        <v>19</v>
      </c>
      <c r="M916" t="s">
        <v>30</v>
      </c>
      <c r="N916" t="s">
        <v>43</v>
      </c>
      <c r="O916">
        <v>0.2</v>
      </c>
      <c r="P916" t="s">
        <v>27</v>
      </c>
      <c r="Q916" t="s">
        <v>48</v>
      </c>
    </row>
    <row r="917" spans="1:17">
      <c r="A917">
        <v>875475958</v>
      </c>
      <c r="B917" t="s">
        <v>33</v>
      </c>
      <c r="C917" t="s">
        <v>34</v>
      </c>
      <c r="D917" s="1">
        <v>48568</v>
      </c>
      <c r="E917">
        <v>2245</v>
      </c>
      <c r="F917">
        <v>12</v>
      </c>
      <c r="G917" s="2">
        <v>5.3E-3</v>
      </c>
      <c r="H917" s="2">
        <f>Table1[[#This Row],[İade Miktarı]]/Table1[[#This Row],[Satış Miktarı]]</f>
        <v>5.3452115812917594E-3</v>
      </c>
      <c r="I917" t="s">
        <v>18</v>
      </c>
      <c r="J917">
        <v>25</v>
      </c>
      <c r="K917">
        <f>Table1[[#This Row],[Satış Miktarı]]*Table1[[#This Row],[Satış Fiyatı]]</f>
        <v>56125</v>
      </c>
      <c r="L917" t="s">
        <v>19</v>
      </c>
      <c r="M917" t="s">
        <v>35</v>
      </c>
      <c r="N917" t="s">
        <v>31</v>
      </c>
      <c r="O917">
        <v>0.2</v>
      </c>
      <c r="P917" t="s">
        <v>22</v>
      </c>
      <c r="Q917" t="s">
        <v>23</v>
      </c>
    </row>
    <row r="918" spans="1:17">
      <c r="A918">
        <v>840840587</v>
      </c>
      <c r="B918" t="s">
        <v>37</v>
      </c>
      <c r="C918" t="s">
        <v>34</v>
      </c>
      <c r="D918" s="1">
        <v>47989</v>
      </c>
      <c r="E918">
        <v>1982</v>
      </c>
      <c r="F918">
        <v>16</v>
      </c>
      <c r="G918" s="2">
        <v>8.0999999999999996E-3</v>
      </c>
      <c r="H918" s="2">
        <f>Table1[[#This Row],[İade Miktarı]]/Table1[[#This Row],[Satış Miktarı]]</f>
        <v>8.0726538849646822E-3</v>
      </c>
      <c r="I918" t="s">
        <v>18</v>
      </c>
      <c r="J918">
        <v>27</v>
      </c>
      <c r="K918">
        <f>Table1[[#This Row],[Satış Miktarı]]*Table1[[#This Row],[Satış Fiyatı]]</f>
        <v>53514</v>
      </c>
      <c r="L918" t="s">
        <v>19</v>
      </c>
      <c r="M918" t="s">
        <v>38</v>
      </c>
      <c r="N918" t="s">
        <v>21</v>
      </c>
      <c r="O918">
        <v>0.2</v>
      </c>
      <c r="P918" t="s">
        <v>22</v>
      </c>
      <c r="Q918" t="s">
        <v>48</v>
      </c>
    </row>
    <row r="919" spans="1:17">
      <c r="A919">
        <v>849818593</v>
      </c>
      <c r="B919" t="s">
        <v>41</v>
      </c>
      <c r="C919" t="s">
        <v>17</v>
      </c>
      <c r="D919" s="1">
        <v>48321</v>
      </c>
      <c r="E919">
        <v>2696</v>
      </c>
      <c r="F919">
        <v>26</v>
      </c>
      <c r="G919" s="2">
        <v>9.5999999999999992E-3</v>
      </c>
      <c r="H919" s="2">
        <f>Table1[[#This Row],[İade Miktarı]]/Table1[[#This Row],[Satış Miktarı]]</f>
        <v>9.6439169139465875E-3</v>
      </c>
      <c r="I919" t="s">
        <v>18</v>
      </c>
      <c r="J919">
        <v>24</v>
      </c>
      <c r="K919">
        <f>Table1[[#This Row],[Satış Miktarı]]*Table1[[#This Row],[Satış Fiyatı]]</f>
        <v>64704</v>
      </c>
      <c r="L919" t="s">
        <v>19</v>
      </c>
      <c r="M919" t="s">
        <v>42</v>
      </c>
      <c r="N919" t="s">
        <v>76</v>
      </c>
      <c r="O919">
        <v>0.2</v>
      </c>
      <c r="P919" t="s">
        <v>27</v>
      </c>
      <c r="Q919" t="s">
        <v>36</v>
      </c>
    </row>
    <row r="920" spans="1:17">
      <c r="A920">
        <v>412753417</v>
      </c>
      <c r="B920" t="s">
        <v>44</v>
      </c>
      <c r="C920" t="s">
        <v>17</v>
      </c>
      <c r="D920" s="1">
        <v>47615</v>
      </c>
      <c r="E920">
        <v>1535</v>
      </c>
      <c r="F920">
        <v>28</v>
      </c>
      <c r="G920" s="2">
        <v>1.8200000000000001E-2</v>
      </c>
      <c r="H920" s="2">
        <f>Table1[[#This Row],[İade Miktarı]]/Table1[[#This Row],[Satış Miktarı]]</f>
        <v>1.8241042345276872E-2</v>
      </c>
      <c r="I920" t="s">
        <v>18</v>
      </c>
      <c r="J920">
        <v>22</v>
      </c>
      <c r="K920">
        <f>Table1[[#This Row],[Satış Miktarı]]*Table1[[#This Row],[Satış Fiyatı]]</f>
        <v>33770</v>
      </c>
      <c r="L920" t="s">
        <v>19</v>
      </c>
      <c r="M920" t="s">
        <v>46</v>
      </c>
      <c r="N920" t="s">
        <v>26</v>
      </c>
      <c r="O920">
        <v>0.2</v>
      </c>
      <c r="P920" t="s">
        <v>22</v>
      </c>
      <c r="Q920" t="s">
        <v>32</v>
      </c>
    </row>
    <row r="921" spans="1:17">
      <c r="A921">
        <v>194968897</v>
      </c>
      <c r="B921" t="s">
        <v>49</v>
      </c>
      <c r="C921" t="s">
        <v>34</v>
      </c>
      <c r="D921" s="1">
        <v>48439</v>
      </c>
      <c r="E921">
        <v>3261</v>
      </c>
      <c r="F921">
        <v>28</v>
      </c>
      <c r="G921" s="2">
        <v>8.6E-3</v>
      </c>
      <c r="H921" s="2">
        <f>Table1[[#This Row],[İade Miktarı]]/Table1[[#This Row],[Satış Miktarı]]</f>
        <v>8.5863232137381174E-3</v>
      </c>
      <c r="I921" t="s">
        <v>18</v>
      </c>
      <c r="J921">
        <v>32</v>
      </c>
      <c r="K921">
        <f>Table1[[#This Row],[Satış Miktarı]]*Table1[[#This Row],[Satış Fiyatı]]</f>
        <v>104352</v>
      </c>
      <c r="L921" t="s">
        <v>19</v>
      </c>
      <c r="M921" t="s">
        <v>46</v>
      </c>
      <c r="N921" t="s">
        <v>43</v>
      </c>
      <c r="O921">
        <v>0.2</v>
      </c>
      <c r="P921" t="s">
        <v>22</v>
      </c>
      <c r="Q921" t="s">
        <v>75</v>
      </c>
    </row>
    <row r="922" spans="1:17">
      <c r="A922">
        <v>554675361</v>
      </c>
      <c r="B922" t="s">
        <v>51</v>
      </c>
      <c r="C922" t="s">
        <v>17</v>
      </c>
      <c r="D922" s="1">
        <v>48222</v>
      </c>
      <c r="E922">
        <v>1849</v>
      </c>
      <c r="F922">
        <v>13</v>
      </c>
      <c r="G922" s="2">
        <v>7.0000000000000001E-3</v>
      </c>
      <c r="H922" s="2">
        <f>Table1[[#This Row],[İade Miktarı]]/Table1[[#This Row],[Satış Miktarı]]</f>
        <v>7.0308274743104381E-3</v>
      </c>
      <c r="I922" t="s">
        <v>18</v>
      </c>
      <c r="J922">
        <v>42</v>
      </c>
      <c r="K922">
        <f>Table1[[#This Row],[Satış Miktarı]]*Table1[[#This Row],[Satış Fiyatı]]</f>
        <v>77658</v>
      </c>
      <c r="L922" t="s">
        <v>19</v>
      </c>
      <c r="M922" t="s">
        <v>52</v>
      </c>
      <c r="N922" t="s">
        <v>78</v>
      </c>
      <c r="O922">
        <v>0.2</v>
      </c>
      <c r="P922" t="s">
        <v>22</v>
      </c>
      <c r="Q922" t="s">
        <v>53</v>
      </c>
    </row>
    <row r="923" spans="1:17">
      <c r="A923">
        <v>405210737</v>
      </c>
      <c r="B923" t="s">
        <v>54</v>
      </c>
      <c r="C923" t="s">
        <v>34</v>
      </c>
      <c r="D923" s="1">
        <v>48145</v>
      </c>
      <c r="E923">
        <v>2540</v>
      </c>
      <c r="F923">
        <v>44</v>
      </c>
      <c r="G923" s="2">
        <v>1.7299999999999999E-2</v>
      </c>
      <c r="H923" s="2">
        <f>Table1[[#This Row],[İade Miktarı]]/Table1[[#This Row],[Satış Miktarı]]</f>
        <v>1.7322834645669291E-2</v>
      </c>
      <c r="I923" t="s">
        <v>18</v>
      </c>
      <c r="J923">
        <v>30</v>
      </c>
      <c r="K923">
        <f>Table1[[#This Row],[Satış Miktarı]]*Table1[[#This Row],[Satış Fiyatı]]</f>
        <v>76200</v>
      </c>
      <c r="L923" t="s">
        <v>19</v>
      </c>
      <c r="M923" t="s">
        <v>55</v>
      </c>
      <c r="N923" t="s">
        <v>76</v>
      </c>
      <c r="O923">
        <v>0.2</v>
      </c>
      <c r="P923" t="s">
        <v>27</v>
      </c>
      <c r="Q923" t="s">
        <v>77</v>
      </c>
    </row>
    <row r="924" spans="1:17">
      <c r="A924">
        <v>247014845</v>
      </c>
      <c r="B924" t="s">
        <v>57</v>
      </c>
      <c r="C924" t="s">
        <v>34</v>
      </c>
      <c r="D924" s="1">
        <v>47808</v>
      </c>
      <c r="E924">
        <v>3214</v>
      </c>
      <c r="F924">
        <v>45</v>
      </c>
      <c r="G924" s="2">
        <v>1.4E-2</v>
      </c>
      <c r="H924" s="2">
        <f>Table1[[#This Row],[İade Miktarı]]/Table1[[#This Row],[Satış Miktarı]]</f>
        <v>1.4001244555071561E-2</v>
      </c>
      <c r="I924" t="s">
        <v>18</v>
      </c>
      <c r="J924">
        <v>34</v>
      </c>
      <c r="K924">
        <f>Table1[[#This Row],[Satış Miktarı]]*Table1[[#This Row],[Satış Fiyatı]]</f>
        <v>109276</v>
      </c>
      <c r="L924" t="s">
        <v>19</v>
      </c>
      <c r="M924" t="s">
        <v>58</v>
      </c>
      <c r="N924" t="s">
        <v>43</v>
      </c>
      <c r="O924">
        <v>0.2</v>
      </c>
      <c r="P924" t="s">
        <v>27</v>
      </c>
      <c r="Q924" t="s">
        <v>53</v>
      </c>
    </row>
    <row r="925" spans="1:17">
      <c r="A925">
        <v>315147821</v>
      </c>
      <c r="B925" t="s">
        <v>59</v>
      </c>
      <c r="C925" t="s">
        <v>17</v>
      </c>
      <c r="D925" s="1">
        <v>48300</v>
      </c>
      <c r="E925">
        <v>1831</v>
      </c>
      <c r="F925">
        <v>40</v>
      </c>
      <c r="G925" s="2">
        <v>2.18E-2</v>
      </c>
      <c r="H925" s="2">
        <f>Table1[[#This Row],[İade Miktarı]]/Table1[[#This Row],[Satış Miktarı]]</f>
        <v>2.1845985800109231E-2</v>
      </c>
      <c r="I925" t="s">
        <v>18</v>
      </c>
      <c r="J925">
        <v>36</v>
      </c>
      <c r="K925">
        <f>Table1[[#This Row],[Satış Miktarı]]*Table1[[#This Row],[Satış Fiyatı]]</f>
        <v>65916</v>
      </c>
      <c r="L925" t="s">
        <v>19</v>
      </c>
      <c r="M925" t="s">
        <v>60</v>
      </c>
      <c r="N925" t="s">
        <v>50</v>
      </c>
      <c r="O925">
        <v>0.2</v>
      </c>
      <c r="P925" t="s">
        <v>22</v>
      </c>
      <c r="Q925" t="s">
        <v>36</v>
      </c>
    </row>
    <row r="926" spans="1:17">
      <c r="A926">
        <v>793849547</v>
      </c>
      <c r="B926" t="s">
        <v>63</v>
      </c>
      <c r="C926" t="s">
        <v>17</v>
      </c>
      <c r="D926" s="1">
        <v>48288</v>
      </c>
      <c r="E926">
        <v>4653</v>
      </c>
      <c r="F926">
        <v>31</v>
      </c>
      <c r="G926" s="2">
        <v>6.7000000000000002E-3</v>
      </c>
      <c r="H926" s="2">
        <f>Table1[[#This Row],[İade Miktarı]]/Table1[[#This Row],[Satış Miktarı]]</f>
        <v>6.6623683644960238E-3</v>
      </c>
      <c r="I926" t="s">
        <v>18</v>
      </c>
      <c r="J926">
        <v>40</v>
      </c>
      <c r="K926">
        <f>Table1[[#This Row],[Satış Miktarı]]*Table1[[#This Row],[Satış Fiyatı]]</f>
        <v>186120</v>
      </c>
      <c r="L926" t="s">
        <v>19</v>
      </c>
      <c r="M926" t="s">
        <v>64</v>
      </c>
      <c r="N926" t="s">
        <v>50</v>
      </c>
      <c r="O926">
        <v>0.2</v>
      </c>
      <c r="P926" t="s">
        <v>22</v>
      </c>
      <c r="Q926" t="s">
        <v>83</v>
      </c>
    </row>
    <row r="927" spans="1:17">
      <c r="A927">
        <v>545823990</v>
      </c>
      <c r="B927" t="s">
        <v>67</v>
      </c>
      <c r="C927" t="s">
        <v>17</v>
      </c>
      <c r="D927" s="1">
        <v>48214</v>
      </c>
      <c r="E927">
        <v>3018</v>
      </c>
      <c r="F927">
        <v>15</v>
      </c>
      <c r="G927" s="2">
        <v>5.0000000000000001E-3</v>
      </c>
      <c r="H927" s="2">
        <f>Table1[[#This Row],[İade Miktarı]]/Table1[[#This Row],[Satış Miktarı]]</f>
        <v>4.970178926441352E-3</v>
      </c>
      <c r="I927" t="s">
        <v>18</v>
      </c>
      <c r="J927">
        <v>36</v>
      </c>
      <c r="K927">
        <f>Table1[[#This Row],[Satış Miktarı]]*Table1[[#This Row],[Satış Fiyatı]]</f>
        <v>108648</v>
      </c>
      <c r="L927" t="s">
        <v>19</v>
      </c>
      <c r="M927" t="s">
        <v>68</v>
      </c>
      <c r="N927" t="s">
        <v>31</v>
      </c>
      <c r="O927">
        <v>0.2</v>
      </c>
      <c r="P927" t="s">
        <v>22</v>
      </c>
      <c r="Q927" t="s">
        <v>77</v>
      </c>
    </row>
    <row r="928" spans="1:17">
      <c r="A928">
        <v>135658781</v>
      </c>
      <c r="B928" t="s">
        <v>70</v>
      </c>
      <c r="C928" t="s">
        <v>17</v>
      </c>
      <c r="D928" s="1">
        <v>48485</v>
      </c>
      <c r="E928">
        <v>4798</v>
      </c>
      <c r="F928">
        <v>40</v>
      </c>
      <c r="G928" s="2">
        <v>8.3000000000000001E-3</v>
      </c>
      <c r="H928" s="2">
        <f>Table1[[#This Row],[İade Miktarı]]/Table1[[#This Row],[Satış Miktarı]]</f>
        <v>8.3368070029178828E-3</v>
      </c>
      <c r="I928" t="s">
        <v>45</v>
      </c>
      <c r="J928">
        <v>24</v>
      </c>
      <c r="K928">
        <f>Table1[[#This Row],[Satış Miktarı]]*Table1[[#This Row],[Satış Fiyatı]]</f>
        <v>115152</v>
      </c>
      <c r="L928" t="s">
        <v>19</v>
      </c>
      <c r="M928" t="s">
        <v>71</v>
      </c>
      <c r="N928" t="s">
        <v>50</v>
      </c>
      <c r="O928">
        <v>0.2</v>
      </c>
      <c r="P928" t="s">
        <v>27</v>
      </c>
      <c r="Q928" t="s">
        <v>75</v>
      </c>
    </row>
    <row r="929" spans="1:17">
      <c r="A929">
        <v>100148669</v>
      </c>
      <c r="B929" t="s">
        <v>73</v>
      </c>
      <c r="C929" t="s">
        <v>17</v>
      </c>
      <c r="D929" s="1">
        <v>48165</v>
      </c>
      <c r="E929">
        <v>2430</v>
      </c>
      <c r="F929">
        <v>37</v>
      </c>
      <c r="G929" s="2">
        <v>1.52E-2</v>
      </c>
      <c r="H929" s="2">
        <f>Table1[[#This Row],[İade Miktarı]]/Table1[[#This Row],[Satış Miktarı]]</f>
        <v>1.5226337448559672E-2</v>
      </c>
      <c r="I929" t="s">
        <v>18</v>
      </c>
      <c r="J929">
        <v>37</v>
      </c>
      <c r="K929">
        <f>Table1[[#This Row],[Satış Miktarı]]*Table1[[#This Row],[Satış Fiyatı]]</f>
        <v>89910</v>
      </c>
      <c r="L929" t="s">
        <v>19</v>
      </c>
      <c r="M929" t="s">
        <v>74</v>
      </c>
      <c r="N929" t="s">
        <v>39</v>
      </c>
      <c r="O929">
        <v>0.2</v>
      </c>
      <c r="P929" t="s">
        <v>22</v>
      </c>
      <c r="Q929" t="s">
        <v>62</v>
      </c>
    </row>
    <row r="930" spans="1:17">
      <c r="A930">
        <v>976969735</v>
      </c>
      <c r="B930" t="s">
        <v>16</v>
      </c>
      <c r="C930" t="s">
        <v>17</v>
      </c>
      <c r="D930" s="1">
        <v>47824</v>
      </c>
      <c r="E930">
        <v>1852</v>
      </c>
      <c r="F930">
        <v>46</v>
      </c>
      <c r="G930" s="2">
        <v>2.4799999999999999E-2</v>
      </c>
      <c r="H930" s="2">
        <f>Table1[[#This Row],[İade Miktarı]]/Table1[[#This Row],[Satış Miktarı]]</f>
        <v>2.4838012958963283E-2</v>
      </c>
      <c r="I930" t="s">
        <v>18</v>
      </c>
      <c r="J930">
        <v>50</v>
      </c>
      <c r="K930">
        <f>Table1[[#This Row],[Satış Miktarı]]*Table1[[#This Row],[Satış Fiyatı]]</f>
        <v>92600</v>
      </c>
      <c r="L930" t="s">
        <v>19</v>
      </c>
      <c r="M930" t="s">
        <v>20</v>
      </c>
      <c r="N930" t="s">
        <v>31</v>
      </c>
      <c r="O930">
        <v>0.2</v>
      </c>
      <c r="P930" t="s">
        <v>27</v>
      </c>
      <c r="Q930" t="s">
        <v>80</v>
      </c>
    </row>
    <row r="931" spans="1:17">
      <c r="A931">
        <v>959683641</v>
      </c>
      <c r="B931" t="s">
        <v>24</v>
      </c>
      <c r="C931" t="s">
        <v>17</v>
      </c>
      <c r="D931" s="1">
        <v>48168</v>
      </c>
      <c r="E931">
        <v>4753</v>
      </c>
      <c r="F931">
        <v>23</v>
      </c>
      <c r="G931" s="2">
        <v>4.7999999999999996E-3</v>
      </c>
      <c r="H931" s="2">
        <f>Table1[[#This Row],[İade Miktarı]]/Table1[[#This Row],[Satış Miktarı]]</f>
        <v>4.8390490216705237E-3</v>
      </c>
      <c r="I931" t="s">
        <v>18</v>
      </c>
      <c r="J931">
        <v>29</v>
      </c>
      <c r="K931">
        <f>Table1[[#This Row],[Satış Miktarı]]*Table1[[#This Row],[Satış Fiyatı]]</f>
        <v>137837</v>
      </c>
      <c r="L931" t="s">
        <v>19</v>
      </c>
      <c r="M931" t="s">
        <v>25</v>
      </c>
      <c r="N931" t="s">
        <v>31</v>
      </c>
      <c r="O931">
        <v>0.2</v>
      </c>
      <c r="P931" t="s">
        <v>22</v>
      </c>
      <c r="Q931" t="s">
        <v>32</v>
      </c>
    </row>
    <row r="932" spans="1:17">
      <c r="A932">
        <v>887655830</v>
      </c>
      <c r="B932" t="s">
        <v>29</v>
      </c>
      <c r="C932" t="s">
        <v>17</v>
      </c>
      <c r="D932" s="1">
        <v>48431</v>
      </c>
      <c r="E932">
        <v>2905</v>
      </c>
      <c r="F932">
        <v>22</v>
      </c>
      <c r="G932" s="2">
        <v>7.6E-3</v>
      </c>
      <c r="H932" s="2">
        <f>Table1[[#This Row],[İade Miktarı]]/Table1[[#This Row],[Satış Miktarı]]</f>
        <v>7.5731497418244408E-3</v>
      </c>
      <c r="I932" t="s">
        <v>45</v>
      </c>
      <c r="J932">
        <v>22</v>
      </c>
      <c r="K932">
        <f>Table1[[#This Row],[Satış Miktarı]]*Table1[[#This Row],[Satış Fiyatı]]</f>
        <v>63910</v>
      </c>
      <c r="L932" t="s">
        <v>19</v>
      </c>
      <c r="M932" t="s">
        <v>30</v>
      </c>
      <c r="N932" t="s">
        <v>43</v>
      </c>
      <c r="O932">
        <v>0.2</v>
      </c>
      <c r="P932" t="s">
        <v>27</v>
      </c>
      <c r="Q932" t="s">
        <v>82</v>
      </c>
    </row>
    <row r="933" spans="1:17">
      <c r="A933">
        <v>658212658</v>
      </c>
      <c r="B933" t="s">
        <v>33</v>
      </c>
      <c r="C933" t="s">
        <v>34</v>
      </c>
      <c r="D933" s="1">
        <v>48085</v>
      </c>
      <c r="E933">
        <v>2076</v>
      </c>
      <c r="F933">
        <v>33</v>
      </c>
      <c r="G933" s="2">
        <v>1.5900000000000001E-2</v>
      </c>
      <c r="H933" s="2">
        <f>Table1[[#This Row],[İade Miktarı]]/Table1[[#This Row],[Satış Miktarı]]</f>
        <v>1.5895953757225433E-2</v>
      </c>
      <c r="I933" t="s">
        <v>18</v>
      </c>
      <c r="J933">
        <v>33</v>
      </c>
      <c r="K933">
        <f>Table1[[#This Row],[Satış Miktarı]]*Table1[[#This Row],[Satış Fiyatı]]</f>
        <v>68508</v>
      </c>
      <c r="L933" t="s">
        <v>19</v>
      </c>
      <c r="M933" t="s">
        <v>35</v>
      </c>
      <c r="N933" t="s">
        <v>50</v>
      </c>
      <c r="O933">
        <v>0.2</v>
      </c>
      <c r="P933" t="s">
        <v>22</v>
      </c>
      <c r="Q933" t="s">
        <v>48</v>
      </c>
    </row>
    <row r="934" spans="1:17">
      <c r="A934">
        <v>862293746</v>
      </c>
      <c r="B934" t="s">
        <v>37</v>
      </c>
      <c r="C934" t="s">
        <v>34</v>
      </c>
      <c r="D934" s="1">
        <v>48265</v>
      </c>
      <c r="E934">
        <v>2885</v>
      </c>
      <c r="F934">
        <v>21</v>
      </c>
      <c r="G934" s="2">
        <v>7.3000000000000001E-3</v>
      </c>
      <c r="H934" s="2">
        <f>Table1[[#This Row],[İade Miktarı]]/Table1[[#This Row],[Satış Miktarı]]</f>
        <v>7.2790294627383019E-3</v>
      </c>
      <c r="I934" t="s">
        <v>18</v>
      </c>
      <c r="J934">
        <v>26</v>
      </c>
      <c r="K934">
        <f>Table1[[#This Row],[Satış Miktarı]]*Table1[[#This Row],[Satış Fiyatı]]</f>
        <v>75010</v>
      </c>
      <c r="L934" t="s">
        <v>19</v>
      </c>
      <c r="M934" t="s">
        <v>38</v>
      </c>
      <c r="N934" t="s">
        <v>26</v>
      </c>
      <c r="O934">
        <v>0.2</v>
      </c>
      <c r="P934" t="s">
        <v>22</v>
      </c>
      <c r="Q934" t="s">
        <v>80</v>
      </c>
    </row>
    <row r="935" spans="1:17">
      <c r="A935">
        <v>586232647</v>
      </c>
      <c r="B935" t="s">
        <v>41</v>
      </c>
      <c r="C935" t="s">
        <v>17</v>
      </c>
      <c r="D935" s="1">
        <v>47674</v>
      </c>
      <c r="E935">
        <v>3226</v>
      </c>
      <c r="F935">
        <v>21</v>
      </c>
      <c r="G935" s="2">
        <v>6.4999999999999997E-3</v>
      </c>
      <c r="H935" s="2">
        <f>Table1[[#This Row],[İade Miktarı]]/Table1[[#This Row],[Satış Miktarı]]</f>
        <v>6.5096094234345942E-3</v>
      </c>
      <c r="I935" t="s">
        <v>45</v>
      </c>
      <c r="J935">
        <v>32</v>
      </c>
      <c r="K935">
        <f>Table1[[#This Row],[Satış Miktarı]]*Table1[[#This Row],[Satış Fiyatı]]</f>
        <v>103232</v>
      </c>
      <c r="L935" t="s">
        <v>19</v>
      </c>
      <c r="M935" t="s">
        <v>42</v>
      </c>
      <c r="N935" t="s">
        <v>21</v>
      </c>
      <c r="O935">
        <v>0.2</v>
      </c>
      <c r="P935" t="s">
        <v>22</v>
      </c>
      <c r="Q935" t="s">
        <v>53</v>
      </c>
    </row>
    <row r="936" spans="1:17">
      <c r="A936">
        <v>689512243</v>
      </c>
      <c r="B936" t="s">
        <v>44</v>
      </c>
      <c r="C936" t="s">
        <v>17</v>
      </c>
      <c r="D936" s="1">
        <v>48276</v>
      </c>
      <c r="E936">
        <v>1231</v>
      </c>
      <c r="F936">
        <v>45</v>
      </c>
      <c r="G936" s="2">
        <v>3.6600000000000001E-2</v>
      </c>
      <c r="H936" s="2">
        <f>Table1[[#This Row],[İade Miktarı]]/Table1[[#This Row],[Satış Miktarı]]</f>
        <v>3.6555645816409424E-2</v>
      </c>
      <c r="I936" t="s">
        <v>18</v>
      </c>
      <c r="J936">
        <v>36</v>
      </c>
      <c r="K936">
        <f>Table1[[#This Row],[Satış Miktarı]]*Table1[[#This Row],[Satış Fiyatı]]</f>
        <v>44316</v>
      </c>
      <c r="L936" t="s">
        <v>19</v>
      </c>
      <c r="M936" t="s">
        <v>46</v>
      </c>
      <c r="N936" t="s">
        <v>39</v>
      </c>
      <c r="O936">
        <v>0.2</v>
      </c>
      <c r="P936" t="s">
        <v>22</v>
      </c>
      <c r="Q936" t="s">
        <v>75</v>
      </c>
    </row>
    <row r="937" spans="1:17">
      <c r="A937">
        <v>19206174</v>
      </c>
      <c r="B937" t="s">
        <v>49</v>
      </c>
      <c r="C937" t="s">
        <v>34</v>
      </c>
      <c r="D937" s="1">
        <v>48306</v>
      </c>
      <c r="E937">
        <v>1412</v>
      </c>
      <c r="F937">
        <v>27</v>
      </c>
      <c r="G937" s="2">
        <v>1.9099999999999999E-2</v>
      </c>
      <c r="H937" s="2">
        <f>Table1[[#This Row],[İade Miktarı]]/Table1[[#This Row],[Satış Miktarı]]</f>
        <v>1.9121813031161474E-2</v>
      </c>
      <c r="I937" t="s">
        <v>18</v>
      </c>
      <c r="J937">
        <v>28</v>
      </c>
      <c r="K937">
        <f>Table1[[#This Row],[Satış Miktarı]]*Table1[[#This Row],[Satış Fiyatı]]</f>
        <v>39536</v>
      </c>
      <c r="L937" t="s">
        <v>19</v>
      </c>
      <c r="M937" t="s">
        <v>46</v>
      </c>
      <c r="N937" t="s">
        <v>76</v>
      </c>
      <c r="O937">
        <v>0.2</v>
      </c>
      <c r="P937" t="s">
        <v>27</v>
      </c>
      <c r="Q937" t="s">
        <v>62</v>
      </c>
    </row>
    <row r="938" spans="1:17">
      <c r="A938">
        <v>69316195</v>
      </c>
      <c r="B938" t="s">
        <v>51</v>
      </c>
      <c r="C938" t="s">
        <v>17</v>
      </c>
      <c r="D938" s="1">
        <v>48022</v>
      </c>
      <c r="E938">
        <v>3182</v>
      </c>
      <c r="F938">
        <v>42</v>
      </c>
      <c r="G938" s="2">
        <v>1.32E-2</v>
      </c>
      <c r="H938" s="2">
        <f>Table1[[#This Row],[İade Miktarı]]/Table1[[#This Row],[Satış Miktarı]]</f>
        <v>1.3199245757385292E-2</v>
      </c>
      <c r="I938" t="s">
        <v>45</v>
      </c>
      <c r="J938">
        <v>33</v>
      </c>
      <c r="K938">
        <f>Table1[[#This Row],[Satış Miktarı]]*Table1[[#This Row],[Satış Fiyatı]]</f>
        <v>105006</v>
      </c>
      <c r="L938" t="s">
        <v>19</v>
      </c>
      <c r="M938" t="s">
        <v>52</v>
      </c>
      <c r="N938" t="s">
        <v>47</v>
      </c>
      <c r="O938">
        <v>0.2</v>
      </c>
      <c r="P938" t="s">
        <v>22</v>
      </c>
      <c r="Q938" t="s">
        <v>75</v>
      </c>
    </row>
    <row r="939" spans="1:17">
      <c r="A939">
        <v>913749424</v>
      </c>
      <c r="B939" t="s">
        <v>54</v>
      </c>
      <c r="C939" t="s">
        <v>34</v>
      </c>
      <c r="D939" s="1">
        <v>47915</v>
      </c>
      <c r="E939">
        <v>2838</v>
      </c>
      <c r="F939">
        <v>47</v>
      </c>
      <c r="G939" s="2">
        <v>1.66E-2</v>
      </c>
      <c r="H939" s="2">
        <f>Table1[[#This Row],[İade Miktarı]]/Table1[[#This Row],[Satış Miktarı]]</f>
        <v>1.6560958421423539E-2</v>
      </c>
      <c r="I939" t="s">
        <v>18</v>
      </c>
      <c r="J939">
        <v>36</v>
      </c>
      <c r="K939">
        <f>Table1[[#This Row],[Satış Miktarı]]*Table1[[#This Row],[Satış Fiyatı]]</f>
        <v>102168</v>
      </c>
      <c r="L939" t="s">
        <v>19</v>
      </c>
      <c r="M939" t="s">
        <v>55</v>
      </c>
      <c r="N939" t="s">
        <v>65</v>
      </c>
      <c r="O939">
        <v>0.2</v>
      </c>
      <c r="P939" t="s">
        <v>22</v>
      </c>
      <c r="Q939" t="s">
        <v>80</v>
      </c>
    </row>
    <row r="940" spans="1:17">
      <c r="A940">
        <v>717171461</v>
      </c>
      <c r="B940" t="s">
        <v>57</v>
      </c>
      <c r="C940" t="s">
        <v>34</v>
      </c>
      <c r="D940" s="1">
        <v>47695</v>
      </c>
      <c r="E940">
        <v>3102</v>
      </c>
      <c r="F940">
        <v>22</v>
      </c>
      <c r="G940" s="2">
        <v>7.1000000000000004E-3</v>
      </c>
      <c r="H940" s="2">
        <f>Table1[[#This Row],[İade Miktarı]]/Table1[[#This Row],[Satış Miktarı]]</f>
        <v>7.0921985815602835E-3</v>
      </c>
      <c r="I940" t="s">
        <v>18</v>
      </c>
      <c r="J940">
        <v>45</v>
      </c>
      <c r="K940">
        <f>Table1[[#This Row],[Satış Miktarı]]*Table1[[#This Row],[Satış Fiyatı]]</f>
        <v>139590</v>
      </c>
      <c r="L940" t="s">
        <v>19</v>
      </c>
      <c r="M940" t="s">
        <v>58</v>
      </c>
      <c r="N940" t="s">
        <v>47</v>
      </c>
      <c r="O940">
        <v>0.2</v>
      </c>
      <c r="P940" t="s">
        <v>27</v>
      </c>
      <c r="Q940" t="s">
        <v>62</v>
      </c>
    </row>
    <row r="941" spans="1:17">
      <c r="A941">
        <v>796000032</v>
      </c>
      <c r="B941" t="s">
        <v>59</v>
      </c>
      <c r="C941" t="s">
        <v>17</v>
      </c>
      <c r="D941" s="1">
        <v>47520</v>
      </c>
      <c r="E941">
        <v>4996</v>
      </c>
      <c r="F941">
        <v>33</v>
      </c>
      <c r="G941" s="2">
        <v>6.6E-3</v>
      </c>
      <c r="H941" s="2">
        <f>Table1[[#This Row],[İade Miktarı]]/Table1[[#This Row],[Satış Miktarı]]</f>
        <v>6.6052842273819053E-3</v>
      </c>
      <c r="I941" t="s">
        <v>18</v>
      </c>
      <c r="J941">
        <v>31</v>
      </c>
      <c r="K941">
        <f>Table1[[#This Row],[Satış Miktarı]]*Table1[[#This Row],[Satış Fiyatı]]</f>
        <v>154876</v>
      </c>
      <c r="L941" t="s">
        <v>19</v>
      </c>
      <c r="M941" t="s">
        <v>60</v>
      </c>
      <c r="N941" t="s">
        <v>65</v>
      </c>
      <c r="O941">
        <v>0.2</v>
      </c>
      <c r="P941" t="s">
        <v>22</v>
      </c>
      <c r="Q941" t="s">
        <v>62</v>
      </c>
    </row>
    <row r="942" spans="1:17">
      <c r="A942">
        <v>507230386</v>
      </c>
      <c r="B942" t="s">
        <v>63</v>
      </c>
      <c r="C942" t="s">
        <v>17</v>
      </c>
      <c r="D942" s="1">
        <v>47969</v>
      </c>
      <c r="E942">
        <v>4300</v>
      </c>
      <c r="F942">
        <v>31</v>
      </c>
      <c r="G942" s="2">
        <v>7.1999999999999998E-3</v>
      </c>
      <c r="H942" s="2">
        <f>Table1[[#This Row],[İade Miktarı]]/Table1[[#This Row],[Satış Miktarı]]</f>
        <v>7.2093023255813951E-3</v>
      </c>
      <c r="I942" t="s">
        <v>45</v>
      </c>
      <c r="J942">
        <v>46</v>
      </c>
      <c r="K942">
        <f>Table1[[#This Row],[Satış Miktarı]]*Table1[[#This Row],[Satış Fiyatı]]</f>
        <v>197800</v>
      </c>
      <c r="L942" t="s">
        <v>19</v>
      </c>
      <c r="M942" t="s">
        <v>64</v>
      </c>
      <c r="N942" t="s">
        <v>78</v>
      </c>
      <c r="O942">
        <v>0.2</v>
      </c>
      <c r="P942" t="s">
        <v>27</v>
      </c>
      <c r="Q942" t="s">
        <v>72</v>
      </c>
    </row>
    <row r="943" spans="1:17">
      <c r="A943">
        <v>880357454</v>
      </c>
      <c r="B943" t="s">
        <v>29</v>
      </c>
      <c r="C943" t="s">
        <v>17</v>
      </c>
      <c r="D943" s="1">
        <v>47559</v>
      </c>
      <c r="E943">
        <v>2144</v>
      </c>
      <c r="F943">
        <v>49</v>
      </c>
      <c r="G943" s="2">
        <v>2.29E-2</v>
      </c>
      <c r="H943" s="2">
        <f>Table1[[#This Row],[İade Miktarı]]/Table1[[#This Row],[Satış Miktarı]]</f>
        <v>2.2854477611940299E-2</v>
      </c>
      <c r="I943" t="s">
        <v>18</v>
      </c>
      <c r="J943">
        <v>39</v>
      </c>
      <c r="K943">
        <f>Table1[[#This Row],[Satış Miktarı]]*Table1[[#This Row],[Satış Fiyatı]]</f>
        <v>83616</v>
      </c>
      <c r="L943" t="s">
        <v>19</v>
      </c>
      <c r="M943" t="s">
        <v>68</v>
      </c>
      <c r="N943" t="s">
        <v>65</v>
      </c>
      <c r="O943">
        <v>0.2</v>
      </c>
      <c r="P943" t="s">
        <v>22</v>
      </c>
      <c r="Q943" t="s">
        <v>69</v>
      </c>
    </row>
    <row r="944" spans="1:17">
      <c r="A944">
        <v>491896746</v>
      </c>
      <c r="B944" t="s">
        <v>33</v>
      </c>
      <c r="C944" t="s">
        <v>34</v>
      </c>
      <c r="D944" s="1">
        <v>47558</v>
      </c>
      <c r="E944">
        <v>3742</v>
      </c>
      <c r="F944">
        <v>23</v>
      </c>
      <c r="G944" s="2">
        <v>6.1000000000000004E-3</v>
      </c>
      <c r="H944" s="2">
        <f>Table1[[#This Row],[İade Miktarı]]/Table1[[#This Row],[Satış Miktarı]]</f>
        <v>6.1464457509353291E-3</v>
      </c>
      <c r="I944" t="s">
        <v>18</v>
      </c>
      <c r="J944">
        <v>35</v>
      </c>
      <c r="K944">
        <f>Table1[[#This Row],[Satış Miktarı]]*Table1[[#This Row],[Satış Fiyatı]]</f>
        <v>130970</v>
      </c>
      <c r="L944" t="s">
        <v>19</v>
      </c>
      <c r="M944" t="s">
        <v>71</v>
      </c>
      <c r="N944" t="s">
        <v>39</v>
      </c>
      <c r="O944">
        <v>0.2</v>
      </c>
      <c r="P944" t="s">
        <v>22</v>
      </c>
      <c r="Q944" t="s">
        <v>40</v>
      </c>
    </row>
    <row r="945" spans="1:17">
      <c r="A945">
        <v>137250456</v>
      </c>
      <c r="B945" t="s">
        <v>37</v>
      </c>
      <c r="C945" t="s">
        <v>34</v>
      </c>
      <c r="D945" s="1">
        <v>48020</v>
      </c>
      <c r="E945">
        <v>1372</v>
      </c>
      <c r="F945">
        <v>43</v>
      </c>
      <c r="G945" s="2">
        <v>3.1300000000000001E-2</v>
      </c>
      <c r="H945" s="2">
        <f>Table1[[#This Row],[İade Miktarı]]/Table1[[#This Row],[Satış Miktarı]]</f>
        <v>3.134110787172012E-2</v>
      </c>
      <c r="I945" t="s">
        <v>18</v>
      </c>
      <c r="J945">
        <v>42</v>
      </c>
      <c r="K945">
        <f>Table1[[#This Row],[Satış Miktarı]]*Table1[[#This Row],[Satış Fiyatı]]</f>
        <v>57624</v>
      </c>
      <c r="L945" t="s">
        <v>19</v>
      </c>
      <c r="M945" t="s">
        <v>74</v>
      </c>
      <c r="N945" t="s">
        <v>78</v>
      </c>
      <c r="O945">
        <v>0.2</v>
      </c>
      <c r="P945" t="s">
        <v>27</v>
      </c>
      <c r="Q945" t="s">
        <v>48</v>
      </c>
    </row>
    <row r="946" spans="1:17">
      <c r="A946">
        <v>832251704</v>
      </c>
      <c r="B946" t="s">
        <v>41</v>
      </c>
      <c r="C946" t="s">
        <v>17</v>
      </c>
      <c r="D946" s="1">
        <v>47608</v>
      </c>
      <c r="E946">
        <v>1024</v>
      </c>
      <c r="F946">
        <v>11</v>
      </c>
      <c r="G946" s="2">
        <v>1.0699999999999999E-2</v>
      </c>
      <c r="H946" s="2">
        <f>Table1[[#This Row],[İade Miktarı]]/Table1[[#This Row],[Satış Miktarı]]</f>
        <v>1.07421875E-2</v>
      </c>
      <c r="I946" t="s">
        <v>18</v>
      </c>
      <c r="J946">
        <v>23</v>
      </c>
      <c r="K946">
        <f>Table1[[#This Row],[Satış Miktarı]]*Table1[[#This Row],[Satış Fiyatı]]</f>
        <v>23552</v>
      </c>
      <c r="L946" t="s">
        <v>19</v>
      </c>
      <c r="M946" t="s">
        <v>20</v>
      </c>
      <c r="N946" t="s">
        <v>31</v>
      </c>
      <c r="O946">
        <v>0.2</v>
      </c>
      <c r="P946" t="s">
        <v>22</v>
      </c>
      <c r="Q946" t="s">
        <v>56</v>
      </c>
    </row>
    <row r="947" spans="1:17">
      <c r="A947">
        <v>864362796</v>
      </c>
      <c r="B947" t="s">
        <v>44</v>
      </c>
      <c r="C947" t="s">
        <v>17</v>
      </c>
      <c r="D947" s="1">
        <v>47604</v>
      </c>
      <c r="E947">
        <v>2200</v>
      </c>
      <c r="F947">
        <v>24</v>
      </c>
      <c r="G947" s="2">
        <v>1.09E-2</v>
      </c>
      <c r="H947" s="2">
        <f>Table1[[#This Row],[İade Miktarı]]/Table1[[#This Row],[Satış Miktarı]]</f>
        <v>1.090909090909091E-2</v>
      </c>
      <c r="I947" t="s">
        <v>18</v>
      </c>
      <c r="J947">
        <v>20</v>
      </c>
      <c r="K947">
        <f>Table1[[#This Row],[Satış Miktarı]]*Table1[[#This Row],[Satış Fiyatı]]</f>
        <v>44000</v>
      </c>
      <c r="L947" t="s">
        <v>19</v>
      </c>
      <c r="M947" t="s">
        <v>25</v>
      </c>
      <c r="N947" t="s">
        <v>47</v>
      </c>
      <c r="O947">
        <v>0.2</v>
      </c>
      <c r="P947" t="s">
        <v>22</v>
      </c>
      <c r="Q947" t="s">
        <v>28</v>
      </c>
    </row>
    <row r="948" spans="1:17">
      <c r="A948">
        <v>772090522</v>
      </c>
      <c r="B948" t="s">
        <v>49</v>
      </c>
      <c r="C948" t="s">
        <v>34</v>
      </c>
      <c r="D948" s="1">
        <v>47615</v>
      </c>
      <c r="E948">
        <v>2896</v>
      </c>
      <c r="F948">
        <v>15</v>
      </c>
      <c r="G948" s="2">
        <v>5.1999999999999998E-3</v>
      </c>
      <c r="H948" s="2">
        <f>Table1[[#This Row],[İade Miktarı]]/Table1[[#This Row],[Satış Miktarı]]</f>
        <v>5.1795580110497235E-3</v>
      </c>
      <c r="I948" t="s">
        <v>18</v>
      </c>
      <c r="J948">
        <v>36</v>
      </c>
      <c r="K948">
        <f>Table1[[#This Row],[Satış Miktarı]]*Table1[[#This Row],[Satış Fiyatı]]</f>
        <v>104256</v>
      </c>
      <c r="L948" t="s">
        <v>19</v>
      </c>
      <c r="M948" t="s">
        <v>30</v>
      </c>
      <c r="N948" t="s">
        <v>39</v>
      </c>
      <c r="O948">
        <v>0.2</v>
      </c>
      <c r="P948" t="s">
        <v>27</v>
      </c>
      <c r="Q948" t="s">
        <v>62</v>
      </c>
    </row>
    <row r="949" spans="1:17">
      <c r="A949">
        <v>508887782</v>
      </c>
      <c r="B949" t="s">
        <v>51</v>
      </c>
      <c r="C949" t="s">
        <v>17</v>
      </c>
      <c r="D949" s="1">
        <v>48124</v>
      </c>
      <c r="E949">
        <v>2118</v>
      </c>
      <c r="F949">
        <v>27</v>
      </c>
      <c r="G949" s="2">
        <v>1.2699999999999999E-2</v>
      </c>
      <c r="H949" s="2">
        <f>Table1[[#This Row],[İade Miktarı]]/Table1[[#This Row],[Satış Miktarı]]</f>
        <v>1.2747875354107648E-2</v>
      </c>
      <c r="I949" t="s">
        <v>18</v>
      </c>
      <c r="J949">
        <v>40</v>
      </c>
      <c r="K949">
        <f>Table1[[#This Row],[Satış Miktarı]]*Table1[[#This Row],[Satış Fiyatı]]</f>
        <v>84720</v>
      </c>
      <c r="L949" t="s">
        <v>19</v>
      </c>
      <c r="M949" t="s">
        <v>35</v>
      </c>
      <c r="N949" t="s">
        <v>39</v>
      </c>
      <c r="O949">
        <v>0.2</v>
      </c>
      <c r="P949" t="s">
        <v>22</v>
      </c>
      <c r="Q949" t="s">
        <v>53</v>
      </c>
    </row>
    <row r="950" spans="1:17">
      <c r="A950">
        <v>494227728</v>
      </c>
      <c r="B950" t="s">
        <v>54</v>
      </c>
      <c r="C950" t="s">
        <v>34</v>
      </c>
      <c r="D950" s="1">
        <v>48381</v>
      </c>
      <c r="E950">
        <v>4155</v>
      </c>
      <c r="F950">
        <v>42</v>
      </c>
      <c r="G950" s="2">
        <v>1.01E-2</v>
      </c>
      <c r="H950" s="2">
        <f>Table1[[#This Row],[İade Miktarı]]/Table1[[#This Row],[Satış Miktarı]]</f>
        <v>1.0108303249097473E-2</v>
      </c>
      <c r="I950" t="s">
        <v>18</v>
      </c>
      <c r="J950">
        <v>24</v>
      </c>
      <c r="K950">
        <f>Table1[[#This Row],[Satış Miktarı]]*Table1[[#This Row],[Satış Fiyatı]]</f>
        <v>99720</v>
      </c>
      <c r="L950" t="s">
        <v>19</v>
      </c>
      <c r="M950" t="s">
        <v>38</v>
      </c>
      <c r="N950" t="s">
        <v>47</v>
      </c>
      <c r="O950">
        <v>0.2</v>
      </c>
      <c r="P950" t="s">
        <v>27</v>
      </c>
      <c r="Q950" t="s">
        <v>56</v>
      </c>
    </row>
    <row r="951" spans="1:17">
      <c r="A951">
        <v>706318546</v>
      </c>
      <c r="B951" t="s">
        <v>57</v>
      </c>
      <c r="C951" t="s">
        <v>34</v>
      </c>
      <c r="D951" s="1">
        <v>47682</v>
      </c>
      <c r="E951">
        <v>1381</v>
      </c>
      <c r="F951">
        <v>34</v>
      </c>
      <c r="G951" s="2">
        <v>2.46E-2</v>
      </c>
      <c r="H951" s="2">
        <f>Table1[[#This Row],[İade Miktarı]]/Table1[[#This Row],[Satış Miktarı]]</f>
        <v>2.4619840695148443E-2</v>
      </c>
      <c r="I951" t="s">
        <v>18</v>
      </c>
      <c r="J951">
        <v>43</v>
      </c>
      <c r="K951">
        <f>Table1[[#This Row],[Satış Miktarı]]*Table1[[#This Row],[Satış Fiyatı]]</f>
        <v>59383</v>
      </c>
      <c r="L951" t="s">
        <v>19</v>
      </c>
      <c r="M951" t="s">
        <v>42</v>
      </c>
      <c r="N951" t="s">
        <v>78</v>
      </c>
      <c r="O951">
        <v>0.2</v>
      </c>
      <c r="P951" t="s">
        <v>22</v>
      </c>
      <c r="Q951" t="s">
        <v>84</v>
      </c>
    </row>
    <row r="952" spans="1:17">
      <c r="A952">
        <v>170967130</v>
      </c>
      <c r="B952" t="s">
        <v>59</v>
      </c>
      <c r="C952" t="s">
        <v>17</v>
      </c>
      <c r="D952" s="1">
        <v>47486</v>
      </c>
      <c r="E952">
        <v>1782</v>
      </c>
      <c r="F952">
        <v>24</v>
      </c>
      <c r="G952" s="2">
        <v>1.35E-2</v>
      </c>
      <c r="H952" s="2">
        <f>Table1[[#This Row],[İade Miktarı]]/Table1[[#This Row],[Satış Miktarı]]</f>
        <v>1.3468013468013467E-2</v>
      </c>
      <c r="I952" t="s">
        <v>18</v>
      </c>
      <c r="J952">
        <v>47</v>
      </c>
      <c r="K952">
        <f>Table1[[#This Row],[Satış Miktarı]]*Table1[[#This Row],[Satış Fiyatı]]</f>
        <v>83754</v>
      </c>
      <c r="L952" t="s">
        <v>19</v>
      </c>
      <c r="M952" t="s">
        <v>46</v>
      </c>
      <c r="N952" t="s">
        <v>43</v>
      </c>
      <c r="O952">
        <v>0.2</v>
      </c>
      <c r="P952" t="s">
        <v>27</v>
      </c>
      <c r="Q952" t="s">
        <v>72</v>
      </c>
    </row>
    <row r="953" spans="1:17">
      <c r="A953">
        <v>222237286</v>
      </c>
      <c r="B953" t="s">
        <v>63</v>
      </c>
      <c r="C953" t="s">
        <v>17</v>
      </c>
      <c r="D953" s="1">
        <v>47870</v>
      </c>
      <c r="E953">
        <v>2784</v>
      </c>
      <c r="F953">
        <v>29</v>
      </c>
      <c r="G953" s="2">
        <v>1.04E-2</v>
      </c>
      <c r="H953" s="2">
        <f>Table1[[#This Row],[İade Miktarı]]/Table1[[#This Row],[Satış Miktarı]]</f>
        <v>1.0416666666666666E-2</v>
      </c>
      <c r="I953" t="s">
        <v>18</v>
      </c>
      <c r="J953">
        <v>43</v>
      </c>
      <c r="K953">
        <f>Table1[[#This Row],[Satış Miktarı]]*Table1[[#This Row],[Satış Fiyatı]]</f>
        <v>119712</v>
      </c>
      <c r="L953" t="s">
        <v>19</v>
      </c>
      <c r="M953" t="s">
        <v>46</v>
      </c>
      <c r="N953" t="s">
        <v>76</v>
      </c>
      <c r="O953">
        <v>0.2</v>
      </c>
      <c r="P953" t="s">
        <v>22</v>
      </c>
      <c r="Q953" t="s">
        <v>48</v>
      </c>
    </row>
    <row r="954" spans="1:17">
      <c r="A954">
        <v>388396708</v>
      </c>
      <c r="B954" t="s">
        <v>67</v>
      </c>
      <c r="C954" t="s">
        <v>17</v>
      </c>
      <c r="D954" s="1">
        <v>48074</v>
      </c>
      <c r="E954">
        <v>3832</v>
      </c>
      <c r="F954">
        <v>36</v>
      </c>
      <c r="G954" s="2">
        <v>9.4000000000000004E-3</v>
      </c>
      <c r="H954" s="2">
        <f>Table1[[#This Row],[İade Miktarı]]/Table1[[#This Row],[Satış Miktarı]]</f>
        <v>9.3945720250521916E-3</v>
      </c>
      <c r="I954" t="s">
        <v>18</v>
      </c>
      <c r="J954">
        <v>26</v>
      </c>
      <c r="K954">
        <f>Table1[[#This Row],[Satış Miktarı]]*Table1[[#This Row],[Satış Fiyatı]]</f>
        <v>99632</v>
      </c>
      <c r="L954" t="s">
        <v>19</v>
      </c>
      <c r="M954" t="s">
        <v>52</v>
      </c>
      <c r="N954" t="s">
        <v>21</v>
      </c>
      <c r="O954">
        <v>0.2</v>
      </c>
      <c r="P954" t="s">
        <v>27</v>
      </c>
      <c r="Q954" t="s">
        <v>23</v>
      </c>
    </row>
    <row r="955" spans="1:17">
      <c r="A955">
        <v>989262715</v>
      </c>
      <c r="B955" t="s">
        <v>70</v>
      </c>
      <c r="C955" t="s">
        <v>17</v>
      </c>
      <c r="D955" s="1">
        <v>48270</v>
      </c>
      <c r="E955">
        <v>2001</v>
      </c>
      <c r="F955">
        <v>12</v>
      </c>
      <c r="G955" s="2">
        <v>6.0000000000000001E-3</v>
      </c>
      <c r="H955" s="2">
        <f>Table1[[#This Row],[İade Miktarı]]/Table1[[#This Row],[Satış Miktarı]]</f>
        <v>5.9970014992503746E-3</v>
      </c>
      <c r="I955" t="s">
        <v>18</v>
      </c>
      <c r="J955">
        <v>32</v>
      </c>
      <c r="K955">
        <f>Table1[[#This Row],[Satış Miktarı]]*Table1[[#This Row],[Satış Fiyatı]]</f>
        <v>64032</v>
      </c>
      <c r="L955" t="s">
        <v>19</v>
      </c>
      <c r="M955" t="s">
        <v>55</v>
      </c>
      <c r="N955" t="s">
        <v>78</v>
      </c>
      <c r="O955">
        <v>0.2</v>
      </c>
      <c r="P955" t="s">
        <v>22</v>
      </c>
      <c r="Q955" t="s">
        <v>80</v>
      </c>
    </row>
    <row r="956" spans="1:17">
      <c r="A956">
        <v>189824085</v>
      </c>
      <c r="B956" t="s">
        <v>73</v>
      </c>
      <c r="C956" t="s">
        <v>17</v>
      </c>
      <c r="D956" s="1">
        <v>47534</v>
      </c>
      <c r="E956">
        <v>1502</v>
      </c>
      <c r="F956">
        <v>49</v>
      </c>
      <c r="G956" s="2">
        <v>3.2599999999999997E-2</v>
      </c>
      <c r="H956" s="2">
        <f>Table1[[#This Row],[İade Miktarı]]/Table1[[#This Row],[Satış Miktarı]]</f>
        <v>3.262316910785619E-2</v>
      </c>
      <c r="I956" t="s">
        <v>18</v>
      </c>
      <c r="J956">
        <v>35</v>
      </c>
      <c r="K956">
        <f>Table1[[#This Row],[Satış Miktarı]]*Table1[[#This Row],[Satış Fiyatı]]</f>
        <v>52570</v>
      </c>
      <c r="L956" t="s">
        <v>19</v>
      </c>
      <c r="M956" t="s">
        <v>58</v>
      </c>
      <c r="N956" t="s">
        <v>78</v>
      </c>
      <c r="O956">
        <v>0.2</v>
      </c>
      <c r="P956" t="s">
        <v>27</v>
      </c>
      <c r="Q956" t="s">
        <v>75</v>
      </c>
    </row>
    <row r="957" spans="1:17">
      <c r="A957">
        <v>215301051</v>
      </c>
      <c r="B957" t="s">
        <v>16</v>
      </c>
      <c r="C957" t="s">
        <v>17</v>
      </c>
      <c r="D957" s="1">
        <v>47724</v>
      </c>
      <c r="E957">
        <v>3928</v>
      </c>
      <c r="F957">
        <v>22</v>
      </c>
      <c r="G957" s="2">
        <v>5.5999999999999999E-3</v>
      </c>
      <c r="H957" s="2">
        <f>Table1[[#This Row],[İade Miktarı]]/Table1[[#This Row],[Satış Miktarı]]</f>
        <v>5.6008146639511197E-3</v>
      </c>
      <c r="I957" t="s">
        <v>18</v>
      </c>
      <c r="J957">
        <v>33</v>
      </c>
      <c r="K957">
        <f>Table1[[#This Row],[Satış Miktarı]]*Table1[[#This Row],[Satış Fiyatı]]</f>
        <v>129624</v>
      </c>
      <c r="L957" t="s">
        <v>19</v>
      </c>
      <c r="M957" t="s">
        <v>60</v>
      </c>
      <c r="N957" t="s">
        <v>61</v>
      </c>
      <c r="O957">
        <v>0.2</v>
      </c>
      <c r="P957" t="s">
        <v>27</v>
      </c>
      <c r="Q957" t="s">
        <v>69</v>
      </c>
    </row>
    <row r="958" spans="1:17">
      <c r="A958">
        <v>485172201</v>
      </c>
      <c r="B958" t="s">
        <v>24</v>
      </c>
      <c r="C958" t="s">
        <v>17</v>
      </c>
      <c r="D958" s="1">
        <v>48433</v>
      </c>
      <c r="E958">
        <v>3216</v>
      </c>
      <c r="F958">
        <v>44</v>
      </c>
      <c r="G958" s="2">
        <v>1.37E-2</v>
      </c>
      <c r="H958" s="2">
        <f>Table1[[#This Row],[İade Miktarı]]/Table1[[#This Row],[Satış Miktarı]]</f>
        <v>1.3681592039800995E-2</v>
      </c>
      <c r="I958" t="s">
        <v>18</v>
      </c>
      <c r="J958">
        <v>38</v>
      </c>
      <c r="K958">
        <f>Table1[[#This Row],[Satış Miktarı]]*Table1[[#This Row],[Satış Fiyatı]]</f>
        <v>122208</v>
      </c>
      <c r="L958" t="s">
        <v>19</v>
      </c>
      <c r="M958" t="s">
        <v>64</v>
      </c>
      <c r="N958" t="s">
        <v>47</v>
      </c>
      <c r="O958">
        <v>0.2</v>
      </c>
      <c r="P958" t="s">
        <v>27</v>
      </c>
      <c r="Q958" t="s">
        <v>83</v>
      </c>
    </row>
    <row r="959" spans="1:17">
      <c r="A959">
        <v>117244218</v>
      </c>
      <c r="B959" t="s">
        <v>29</v>
      </c>
      <c r="C959" t="s">
        <v>17</v>
      </c>
      <c r="D959" s="1">
        <v>47575</v>
      </c>
      <c r="E959">
        <v>2807</v>
      </c>
      <c r="F959">
        <v>45</v>
      </c>
      <c r="G959" s="2">
        <v>1.6E-2</v>
      </c>
      <c r="H959" s="2">
        <f>Table1[[#This Row],[İade Miktarı]]/Table1[[#This Row],[Satış Miktarı]]</f>
        <v>1.6031350195938723E-2</v>
      </c>
      <c r="I959" t="s">
        <v>18</v>
      </c>
      <c r="J959">
        <v>22</v>
      </c>
      <c r="K959">
        <f>Table1[[#This Row],[Satış Miktarı]]*Table1[[#This Row],[Satış Fiyatı]]</f>
        <v>61754</v>
      </c>
      <c r="L959" t="s">
        <v>19</v>
      </c>
      <c r="M959" t="s">
        <v>68</v>
      </c>
      <c r="N959" t="s">
        <v>76</v>
      </c>
      <c r="O959">
        <v>0.2</v>
      </c>
      <c r="P959" t="s">
        <v>22</v>
      </c>
      <c r="Q959" t="s">
        <v>36</v>
      </c>
    </row>
    <row r="960" spans="1:17">
      <c r="A960">
        <v>78101857</v>
      </c>
      <c r="B960" t="s">
        <v>33</v>
      </c>
      <c r="C960" t="s">
        <v>34</v>
      </c>
      <c r="D960" s="1">
        <v>48350</v>
      </c>
      <c r="E960">
        <v>2547</v>
      </c>
      <c r="F960">
        <v>27</v>
      </c>
      <c r="G960" s="2">
        <v>1.06E-2</v>
      </c>
      <c r="H960" s="2">
        <f>Table1[[#This Row],[İade Miktarı]]/Table1[[#This Row],[Satış Miktarı]]</f>
        <v>1.0600706713780919E-2</v>
      </c>
      <c r="I960" t="s">
        <v>45</v>
      </c>
      <c r="J960">
        <v>36</v>
      </c>
      <c r="K960">
        <f>Table1[[#This Row],[Satış Miktarı]]*Table1[[#This Row],[Satış Fiyatı]]</f>
        <v>91692</v>
      </c>
      <c r="L960" t="s">
        <v>19</v>
      </c>
      <c r="M960" t="s">
        <v>71</v>
      </c>
      <c r="N960" t="s">
        <v>43</v>
      </c>
      <c r="O960">
        <v>0.2</v>
      </c>
      <c r="P960" t="s">
        <v>27</v>
      </c>
      <c r="Q960" t="s">
        <v>62</v>
      </c>
    </row>
    <row r="961" spans="1:17">
      <c r="A961">
        <v>382903165</v>
      </c>
      <c r="B961" t="s">
        <v>37</v>
      </c>
      <c r="C961" t="s">
        <v>34</v>
      </c>
      <c r="D961" s="1">
        <v>48132</v>
      </c>
      <c r="E961">
        <v>2055</v>
      </c>
      <c r="F961">
        <v>20</v>
      </c>
      <c r="G961" s="2">
        <v>9.7000000000000003E-3</v>
      </c>
      <c r="H961" s="2">
        <f>Table1[[#This Row],[İade Miktarı]]/Table1[[#This Row],[Satış Miktarı]]</f>
        <v>9.7323600973236012E-3</v>
      </c>
      <c r="I961" t="s">
        <v>18</v>
      </c>
      <c r="J961">
        <v>27</v>
      </c>
      <c r="K961">
        <f>Table1[[#This Row],[Satış Miktarı]]*Table1[[#This Row],[Satış Fiyatı]]</f>
        <v>55485</v>
      </c>
      <c r="L961" t="s">
        <v>19</v>
      </c>
      <c r="M961" t="s">
        <v>74</v>
      </c>
      <c r="N961" t="s">
        <v>61</v>
      </c>
      <c r="O961">
        <v>0.2</v>
      </c>
      <c r="P961" t="s">
        <v>27</v>
      </c>
      <c r="Q961" t="s">
        <v>32</v>
      </c>
    </row>
    <row r="962" spans="1:17">
      <c r="A962">
        <v>875532262</v>
      </c>
      <c r="B962" t="s">
        <v>41</v>
      </c>
      <c r="C962" t="s">
        <v>17</v>
      </c>
      <c r="D962" s="1">
        <v>47693</v>
      </c>
      <c r="E962">
        <v>3338</v>
      </c>
      <c r="F962">
        <v>25</v>
      </c>
      <c r="G962" s="2">
        <v>7.4999999999999997E-3</v>
      </c>
      <c r="H962" s="2">
        <f>Table1[[#This Row],[İade Miktarı]]/Table1[[#This Row],[Satış Miktarı]]</f>
        <v>7.4895146794487716E-3</v>
      </c>
      <c r="I962" t="s">
        <v>45</v>
      </c>
      <c r="J962">
        <v>47</v>
      </c>
      <c r="K962">
        <f>Table1[[#This Row],[Satış Miktarı]]*Table1[[#This Row],[Satış Fiyatı]]</f>
        <v>156886</v>
      </c>
      <c r="L962" t="s">
        <v>19</v>
      </c>
      <c r="M962" t="s">
        <v>20</v>
      </c>
      <c r="N962" t="s">
        <v>21</v>
      </c>
      <c r="O962">
        <v>0.2</v>
      </c>
      <c r="P962" t="s">
        <v>22</v>
      </c>
      <c r="Q962" t="s">
        <v>79</v>
      </c>
    </row>
    <row r="963" spans="1:17">
      <c r="A963">
        <v>628534554</v>
      </c>
      <c r="B963" t="s">
        <v>44</v>
      </c>
      <c r="C963" t="s">
        <v>17</v>
      </c>
      <c r="D963" s="1">
        <v>47947</v>
      </c>
      <c r="E963">
        <v>4470</v>
      </c>
      <c r="F963">
        <v>50</v>
      </c>
      <c r="G963" s="2">
        <v>1.12E-2</v>
      </c>
      <c r="H963" s="2">
        <f>Table1[[#This Row],[İade Miktarı]]/Table1[[#This Row],[Satış Miktarı]]</f>
        <v>1.1185682326621925E-2</v>
      </c>
      <c r="I963" t="s">
        <v>18</v>
      </c>
      <c r="J963">
        <v>50</v>
      </c>
      <c r="K963">
        <f>Table1[[#This Row],[Satış Miktarı]]*Table1[[#This Row],[Satış Fiyatı]]</f>
        <v>223500</v>
      </c>
      <c r="L963" t="s">
        <v>19</v>
      </c>
      <c r="M963" t="s">
        <v>25</v>
      </c>
      <c r="N963" t="s">
        <v>39</v>
      </c>
      <c r="O963">
        <v>0.2</v>
      </c>
      <c r="P963" t="s">
        <v>22</v>
      </c>
      <c r="Q963" t="s">
        <v>77</v>
      </c>
    </row>
    <row r="964" spans="1:17">
      <c r="A964">
        <v>777530942</v>
      </c>
      <c r="B964" t="s">
        <v>49</v>
      </c>
      <c r="C964" t="s">
        <v>34</v>
      </c>
      <c r="D964" s="1">
        <v>48034</v>
      </c>
      <c r="E964">
        <v>2981</v>
      </c>
      <c r="F964">
        <v>46</v>
      </c>
      <c r="G964" s="2">
        <v>1.54E-2</v>
      </c>
      <c r="H964" s="2">
        <f>Table1[[#This Row],[İade Miktarı]]/Table1[[#This Row],[Satış Miktarı]]</f>
        <v>1.5431063401543106E-2</v>
      </c>
      <c r="I964" t="s">
        <v>18</v>
      </c>
      <c r="J964">
        <v>50</v>
      </c>
      <c r="K964">
        <f>Table1[[#This Row],[Satış Miktarı]]*Table1[[#This Row],[Satış Fiyatı]]</f>
        <v>149050</v>
      </c>
      <c r="L964" t="s">
        <v>19</v>
      </c>
      <c r="M964" t="s">
        <v>30</v>
      </c>
      <c r="N964" t="s">
        <v>50</v>
      </c>
      <c r="O964">
        <v>0.2</v>
      </c>
      <c r="P964" t="s">
        <v>27</v>
      </c>
      <c r="Q964" t="s">
        <v>69</v>
      </c>
    </row>
    <row r="965" spans="1:17">
      <c r="A965">
        <v>852960901</v>
      </c>
      <c r="B965" t="s">
        <v>51</v>
      </c>
      <c r="C965" t="s">
        <v>17</v>
      </c>
      <c r="D965" s="1">
        <v>47738</v>
      </c>
      <c r="E965">
        <v>4667</v>
      </c>
      <c r="F965">
        <v>20</v>
      </c>
      <c r="G965" s="2">
        <v>4.3E-3</v>
      </c>
      <c r="H965" s="2">
        <f>Table1[[#This Row],[İade Miktarı]]/Table1[[#This Row],[Satış Miktarı]]</f>
        <v>4.2854081851296339E-3</v>
      </c>
      <c r="I965" t="s">
        <v>45</v>
      </c>
      <c r="J965">
        <v>32</v>
      </c>
      <c r="K965">
        <f>Table1[[#This Row],[Satış Miktarı]]*Table1[[#This Row],[Satış Fiyatı]]</f>
        <v>149344</v>
      </c>
      <c r="L965" t="s">
        <v>19</v>
      </c>
      <c r="M965" t="s">
        <v>35</v>
      </c>
      <c r="N965" t="s">
        <v>39</v>
      </c>
      <c r="O965">
        <v>0.2</v>
      </c>
      <c r="P965" t="s">
        <v>27</v>
      </c>
      <c r="Q965" t="s">
        <v>56</v>
      </c>
    </row>
    <row r="966" spans="1:17">
      <c r="A966">
        <v>339753395</v>
      </c>
      <c r="B966" t="s">
        <v>54</v>
      </c>
      <c r="C966" t="s">
        <v>34</v>
      </c>
      <c r="D966" s="1">
        <v>48335</v>
      </c>
      <c r="E966">
        <v>4852</v>
      </c>
      <c r="F966">
        <v>44</v>
      </c>
      <c r="G966" s="2">
        <v>9.1000000000000004E-3</v>
      </c>
      <c r="H966" s="2">
        <f>Table1[[#This Row],[İade Miktarı]]/Table1[[#This Row],[Satış Miktarı]]</f>
        <v>9.0684253915910961E-3</v>
      </c>
      <c r="I966" t="s">
        <v>18</v>
      </c>
      <c r="J966">
        <v>35</v>
      </c>
      <c r="K966">
        <f>Table1[[#This Row],[Satış Miktarı]]*Table1[[#This Row],[Satış Fiyatı]]</f>
        <v>169820</v>
      </c>
      <c r="L966" t="s">
        <v>19</v>
      </c>
      <c r="M966" t="s">
        <v>38</v>
      </c>
      <c r="N966" t="s">
        <v>31</v>
      </c>
      <c r="O966">
        <v>0.2</v>
      </c>
      <c r="P966" t="s">
        <v>27</v>
      </c>
      <c r="Q966" t="s">
        <v>48</v>
      </c>
    </row>
    <row r="967" spans="1:17">
      <c r="A967">
        <v>903555313</v>
      </c>
      <c r="B967" t="s">
        <v>57</v>
      </c>
      <c r="C967" t="s">
        <v>34</v>
      </c>
      <c r="D967" s="1">
        <v>48096</v>
      </c>
      <c r="E967">
        <v>3301</v>
      </c>
      <c r="F967">
        <v>22</v>
      </c>
      <c r="G967" s="2">
        <v>6.7000000000000002E-3</v>
      </c>
      <c r="H967" s="2">
        <f>Table1[[#This Row],[İade Miktarı]]/Table1[[#This Row],[Satış Miktarı]]</f>
        <v>6.6646470766434417E-3</v>
      </c>
      <c r="I967" t="s">
        <v>18</v>
      </c>
      <c r="J967">
        <v>26</v>
      </c>
      <c r="K967">
        <f>Table1[[#This Row],[Satış Miktarı]]*Table1[[#This Row],[Satış Fiyatı]]</f>
        <v>85826</v>
      </c>
      <c r="L967" t="s">
        <v>19</v>
      </c>
      <c r="M967" t="s">
        <v>42</v>
      </c>
      <c r="N967" t="s">
        <v>26</v>
      </c>
      <c r="O967">
        <v>0.2</v>
      </c>
      <c r="P967" t="s">
        <v>22</v>
      </c>
      <c r="Q967" t="s">
        <v>72</v>
      </c>
    </row>
    <row r="968" spans="1:17">
      <c r="A968">
        <v>834660216</v>
      </c>
      <c r="B968" t="s">
        <v>59</v>
      </c>
      <c r="C968" t="s">
        <v>17</v>
      </c>
      <c r="D968" s="1">
        <v>48077</v>
      </c>
      <c r="E968">
        <v>3828</v>
      </c>
      <c r="F968">
        <v>41</v>
      </c>
      <c r="G968" s="2">
        <v>1.0699999999999999E-2</v>
      </c>
      <c r="H968" s="2">
        <f>Table1[[#This Row],[İade Miktarı]]/Table1[[#This Row],[Satış Miktarı]]</f>
        <v>1.0710553814002089E-2</v>
      </c>
      <c r="I968" t="s">
        <v>18</v>
      </c>
      <c r="J968">
        <v>20</v>
      </c>
      <c r="K968">
        <f>Table1[[#This Row],[Satış Miktarı]]*Table1[[#This Row],[Satış Fiyatı]]</f>
        <v>76560</v>
      </c>
      <c r="L968" t="s">
        <v>19</v>
      </c>
      <c r="M968" t="s">
        <v>46</v>
      </c>
      <c r="N968" t="s">
        <v>39</v>
      </c>
      <c r="O968">
        <v>0.2</v>
      </c>
      <c r="P968" t="s">
        <v>22</v>
      </c>
      <c r="Q968" t="s">
        <v>36</v>
      </c>
    </row>
    <row r="969" spans="1:17">
      <c r="A969">
        <v>990112929</v>
      </c>
      <c r="B969" t="s">
        <v>63</v>
      </c>
      <c r="C969" t="s">
        <v>17</v>
      </c>
      <c r="D969" s="1">
        <v>47726</v>
      </c>
      <c r="E969">
        <v>1789</v>
      </c>
      <c r="F969">
        <v>10</v>
      </c>
      <c r="G969" s="2">
        <v>5.5999999999999999E-3</v>
      </c>
      <c r="H969" s="2">
        <f>Table1[[#This Row],[İade Miktarı]]/Table1[[#This Row],[Satış Miktarı]]</f>
        <v>5.5897149245388482E-3</v>
      </c>
      <c r="I969" t="s">
        <v>18</v>
      </c>
      <c r="J969">
        <v>43</v>
      </c>
      <c r="K969">
        <f>Table1[[#This Row],[Satış Miktarı]]*Table1[[#This Row],[Satış Fiyatı]]</f>
        <v>76927</v>
      </c>
      <c r="L969" t="s">
        <v>19</v>
      </c>
      <c r="M969" t="s">
        <v>46</v>
      </c>
      <c r="N969" t="s">
        <v>65</v>
      </c>
      <c r="O969">
        <v>0.2</v>
      </c>
      <c r="P969" t="s">
        <v>22</v>
      </c>
      <c r="Q969" t="s">
        <v>75</v>
      </c>
    </row>
    <row r="970" spans="1:17">
      <c r="A970">
        <v>294891051</v>
      </c>
      <c r="B970" t="s">
        <v>67</v>
      </c>
      <c r="C970" t="s">
        <v>17</v>
      </c>
      <c r="D970" s="1">
        <v>48040</v>
      </c>
      <c r="E970">
        <v>3669</v>
      </c>
      <c r="F970">
        <v>35</v>
      </c>
      <c r="G970" s="2">
        <v>9.4999999999999998E-3</v>
      </c>
      <c r="H970" s="2">
        <f>Table1[[#This Row],[İade Miktarı]]/Table1[[#This Row],[Satış Miktarı]]</f>
        <v>9.5393840283455981E-3</v>
      </c>
      <c r="I970" t="s">
        <v>18</v>
      </c>
      <c r="J970">
        <v>29</v>
      </c>
      <c r="K970">
        <f>Table1[[#This Row],[Satış Miktarı]]*Table1[[#This Row],[Satış Fiyatı]]</f>
        <v>106401</v>
      </c>
      <c r="L970" t="s">
        <v>19</v>
      </c>
      <c r="M970" t="s">
        <v>52</v>
      </c>
      <c r="N970" t="s">
        <v>47</v>
      </c>
      <c r="O970">
        <v>0.2</v>
      </c>
      <c r="P970" t="s">
        <v>22</v>
      </c>
      <c r="Q970" t="s">
        <v>53</v>
      </c>
    </row>
    <row r="971" spans="1:17">
      <c r="A971">
        <v>784360546</v>
      </c>
      <c r="B971" t="s">
        <v>70</v>
      </c>
      <c r="C971" t="s">
        <v>17</v>
      </c>
      <c r="D971" s="1">
        <v>47504</v>
      </c>
      <c r="E971">
        <v>4414</v>
      </c>
      <c r="F971">
        <v>13</v>
      </c>
      <c r="G971" s="2">
        <v>2.8999999999999998E-3</v>
      </c>
      <c r="H971" s="2">
        <f>Table1[[#This Row],[İade Miktarı]]/Table1[[#This Row],[Satış Miktarı]]</f>
        <v>2.9451744449478933E-3</v>
      </c>
      <c r="I971" t="s">
        <v>18</v>
      </c>
      <c r="J971">
        <v>47</v>
      </c>
      <c r="K971">
        <f>Table1[[#This Row],[Satış Miktarı]]*Table1[[#This Row],[Satış Fiyatı]]</f>
        <v>207458</v>
      </c>
      <c r="L971" t="s">
        <v>19</v>
      </c>
      <c r="M971" t="s">
        <v>55</v>
      </c>
      <c r="N971" t="s">
        <v>50</v>
      </c>
      <c r="O971">
        <v>0.2</v>
      </c>
      <c r="P971" t="s">
        <v>27</v>
      </c>
      <c r="Q971" t="s">
        <v>82</v>
      </c>
    </row>
    <row r="972" spans="1:17">
      <c r="A972">
        <v>70005738</v>
      </c>
      <c r="B972" t="s">
        <v>73</v>
      </c>
      <c r="C972" t="s">
        <v>17</v>
      </c>
      <c r="D972" s="1">
        <v>47672</v>
      </c>
      <c r="E972">
        <v>2696</v>
      </c>
      <c r="F972">
        <v>32</v>
      </c>
      <c r="G972" s="2">
        <v>1.1900000000000001E-2</v>
      </c>
      <c r="H972" s="2">
        <f>Table1[[#This Row],[İade Miktarı]]/Table1[[#This Row],[Satış Miktarı]]</f>
        <v>1.1869436201780416E-2</v>
      </c>
      <c r="I972" t="s">
        <v>18</v>
      </c>
      <c r="J972">
        <v>40</v>
      </c>
      <c r="K972">
        <f>Table1[[#This Row],[Satış Miktarı]]*Table1[[#This Row],[Satış Fiyatı]]</f>
        <v>107840</v>
      </c>
      <c r="L972" t="s">
        <v>19</v>
      </c>
      <c r="M972" t="s">
        <v>58</v>
      </c>
      <c r="N972" t="s">
        <v>31</v>
      </c>
      <c r="O972">
        <v>0.2</v>
      </c>
      <c r="P972" t="s">
        <v>22</v>
      </c>
      <c r="Q972" t="s">
        <v>72</v>
      </c>
    </row>
    <row r="973" spans="1:17">
      <c r="A973">
        <v>418994030</v>
      </c>
      <c r="B973" t="s">
        <v>16</v>
      </c>
      <c r="C973" t="s">
        <v>17</v>
      </c>
      <c r="D973" s="1">
        <v>48027</v>
      </c>
      <c r="E973">
        <v>4920</v>
      </c>
      <c r="F973">
        <v>11</v>
      </c>
      <c r="G973" s="2">
        <v>2.2000000000000001E-3</v>
      </c>
      <c r="H973" s="2">
        <f>Table1[[#This Row],[İade Miktarı]]/Table1[[#This Row],[Satış Miktarı]]</f>
        <v>2.2357723577235773E-3</v>
      </c>
      <c r="I973" t="s">
        <v>18</v>
      </c>
      <c r="J973">
        <v>25</v>
      </c>
      <c r="K973">
        <f>Table1[[#This Row],[Satış Miktarı]]*Table1[[#This Row],[Satış Fiyatı]]</f>
        <v>123000</v>
      </c>
      <c r="L973" t="s">
        <v>19</v>
      </c>
      <c r="M973" t="s">
        <v>60</v>
      </c>
      <c r="N973" t="s">
        <v>43</v>
      </c>
      <c r="O973">
        <v>0.2</v>
      </c>
      <c r="P973" t="s">
        <v>22</v>
      </c>
      <c r="Q973" t="s">
        <v>84</v>
      </c>
    </row>
    <row r="974" spans="1:17">
      <c r="A974">
        <v>8533251</v>
      </c>
      <c r="B974" t="s">
        <v>24</v>
      </c>
      <c r="C974" t="s">
        <v>17</v>
      </c>
      <c r="D974" s="1">
        <v>47974</v>
      </c>
      <c r="E974">
        <v>1567</v>
      </c>
      <c r="F974">
        <v>38</v>
      </c>
      <c r="G974" s="2">
        <v>2.4299999999999999E-2</v>
      </c>
      <c r="H974" s="2">
        <f>Table1[[#This Row],[İade Miktarı]]/Table1[[#This Row],[Satış Miktarı]]</f>
        <v>2.4250159540523293E-2</v>
      </c>
      <c r="I974" t="s">
        <v>18</v>
      </c>
      <c r="J974">
        <v>22</v>
      </c>
      <c r="K974">
        <f>Table1[[#This Row],[Satış Miktarı]]*Table1[[#This Row],[Satış Fiyatı]]</f>
        <v>34474</v>
      </c>
      <c r="L974" t="s">
        <v>19</v>
      </c>
      <c r="M974" t="s">
        <v>64</v>
      </c>
      <c r="N974" t="s">
        <v>61</v>
      </c>
      <c r="O974">
        <v>0.2</v>
      </c>
      <c r="P974" t="s">
        <v>27</v>
      </c>
      <c r="Q974" t="s">
        <v>77</v>
      </c>
    </row>
    <row r="975" spans="1:17">
      <c r="A975">
        <v>904070479</v>
      </c>
      <c r="B975" t="s">
        <v>29</v>
      </c>
      <c r="C975" t="s">
        <v>17</v>
      </c>
      <c r="D975" s="1">
        <v>47659</v>
      </c>
      <c r="E975">
        <v>1620</v>
      </c>
      <c r="F975">
        <v>34</v>
      </c>
      <c r="G975" s="2">
        <v>2.1000000000000001E-2</v>
      </c>
      <c r="H975" s="2">
        <f>Table1[[#This Row],[İade Miktarı]]/Table1[[#This Row],[Satış Miktarı]]</f>
        <v>2.0987654320987655E-2</v>
      </c>
      <c r="I975" t="s">
        <v>18</v>
      </c>
      <c r="J975">
        <v>36</v>
      </c>
      <c r="K975">
        <f>Table1[[#This Row],[Satış Miktarı]]*Table1[[#This Row],[Satış Fiyatı]]</f>
        <v>58320</v>
      </c>
      <c r="L975" t="s">
        <v>19</v>
      </c>
      <c r="M975" t="s">
        <v>68</v>
      </c>
      <c r="N975" t="s">
        <v>39</v>
      </c>
      <c r="O975">
        <v>0.2</v>
      </c>
      <c r="P975" t="s">
        <v>22</v>
      </c>
      <c r="Q975" t="s">
        <v>62</v>
      </c>
    </row>
    <row r="976" spans="1:17">
      <c r="A976">
        <v>799141211</v>
      </c>
      <c r="B976" t="s">
        <v>33</v>
      </c>
      <c r="C976" t="s">
        <v>34</v>
      </c>
      <c r="D976" s="1">
        <v>47844</v>
      </c>
      <c r="E976">
        <v>3327</v>
      </c>
      <c r="F976">
        <v>48</v>
      </c>
      <c r="G976" s="2">
        <v>1.44E-2</v>
      </c>
      <c r="H976" s="2">
        <f>Table1[[#This Row],[İade Miktarı]]/Table1[[#This Row],[Satış Miktarı]]</f>
        <v>1.4427412082957619E-2</v>
      </c>
      <c r="I976" t="s">
        <v>18</v>
      </c>
      <c r="J976">
        <v>41</v>
      </c>
      <c r="K976">
        <f>Table1[[#This Row],[Satış Miktarı]]*Table1[[#This Row],[Satış Fiyatı]]</f>
        <v>136407</v>
      </c>
      <c r="L976" t="s">
        <v>19</v>
      </c>
      <c r="M976" t="s">
        <v>71</v>
      </c>
      <c r="N976" t="s">
        <v>76</v>
      </c>
      <c r="O976">
        <v>0.2</v>
      </c>
      <c r="P976" t="s">
        <v>22</v>
      </c>
      <c r="Q976" t="s">
        <v>80</v>
      </c>
    </row>
    <row r="977" spans="1:17">
      <c r="A977">
        <v>813713175</v>
      </c>
      <c r="B977" t="s">
        <v>37</v>
      </c>
      <c r="C977" t="s">
        <v>34</v>
      </c>
      <c r="D977" s="1">
        <v>47712</v>
      </c>
      <c r="E977">
        <v>2115</v>
      </c>
      <c r="F977">
        <v>14</v>
      </c>
      <c r="G977" s="2">
        <v>6.6E-3</v>
      </c>
      <c r="H977" s="2">
        <f>Table1[[#This Row],[İade Miktarı]]/Table1[[#This Row],[Satış Miktarı]]</f>
        <v>6.6193853427895981E-3</v>
      </c>
      <c r="I977" t="s">
        <v>18</v>
      </c>
      <c r="J977">
        <v>28</v>
      </c>
      <c r="K977">
        <f>Table1[[#This Row],[Satış Miktarı]]*Table1[[#This Row],[Satış Fiyatı]]</f>
        <v>59220</v>
      </c>
      <c r="L977" t="s">
        <v>19</v>
      </c>
      <c r="M977" t="s">
        <v>74</v>
      </c>
      <c r="N977" t="s">
        <v>78</v>
      </c>
      <c r="O977">
        <v>0.2</v>
      </c>
      <c r="P977" t="s">
        <v>22</v>
      </c>
      <c r="Q977" t="s">
        <v>48</v>
      </c>
    </row>
    <row r="978" spans="1:17">
      <c r="A978">
        <v>367267993</v>
      </c>
      <c r="B978" t="s">
        <v>41</v>
      </c>
      <c r="C978" t="s">
        <v>17</v>
      </c>
      <c r="D978" s="1">
        <v>47755</v>
      </c>
      <c r="E978">
        <v>4441</v>
      </c>
      <c r="F978">
        <v>48</v>
      </c>
      <c r="G978" s="2">
        <v>1.0800000000000001E-2</v>
      </c>
      <c r="H978" s="2">
        <f>Table1[[#This Row],[İade Miktarı]]/Table1[[#This Row],[Satış Miktarı]]</f>
        <v>1.0808376491781131E-2</v>
      </c>
      <c r="I978" t="s">
        <v>18</v>
      </c>
      <c r="J978">
        <v>38</v>
      </c>
      <c r="K978">
        <f>Table1[[#This Row],[Satış Miktarı]]*Table1[[#This Row],[Satış Fiyatı]]</f>
        <v>168758</v>
      </c>
      <c r="L978" t="s">
        <v>19</v>
      </c>
      <c r="M978" t="s">
        <v>20</v>
      </c>
      <c r="N978" t="s">
        <v>26</v>
      </c>
      <c r="O978">
        <v>0.2</v>
      </c>
      <c r="P978" t="s">
        <v>27</v>
      </c>
      <c r="Q978" t="s">
        <v>77</v>
      </c>
    </row>
    <row r="979" spans="1:17">
      <c r="A979">
        <v>541779080</v>
      </c>
      <c r="B979" t="s">
        <v>44</v>
      </c>
      <c r="C979" t="s">
        <v>17</v>
      </c>
      <c r="D979" s="1">
        <v>48349</v>
      </c>
      <c r="E979">
        <v>2572</v>
      </c>
      <c r="F979">
        <v>36</v>
      </c>
      <c r="G979" s="2">
        <v>1.4E-2</v>
      </c>
      <c r="H979" s="2">
        <f>Table1[[#This Row],[İade Miktarı]]/Table1[[#This Row],[Satış Miktarı]]</f>
        <v>1.3996889580093312E-2</v>
      </c>
      <c r="I979" t="s">
        <v>18</v>
      </c>
      <c r="J979">
        <v>36</v>
      </c>
      <c r="K979">
        <f>Table1[[#This Row],[Satış Miktarı]]*Table1[[#This Row],[Satış Fiyatı]]</f>
        <v>92592</v>
      </c>
      <c r="L979" t="s">
        <v>19</v>
      </c>
      <c r="M979" t="s">
        <v>25</v>
      </c>
      <c r="N979" t="s">
        <v>26</v>
      </c>
      <c r="O979">
        <v>0.2</v>
      </c>
      <c r="P979" t="s">
        <v>27</v>
      </c>
      <c r="Q979" t="s">
        <v>82</v>
      </c>
    </row>
    <row r="980" spans="1:17">
      <c r="A980">
        <v>595505370</v>
      </c>
      <c r="B980" t="s">
        <v>49</v>
      </c>
      <c r="C980" t="s">
        <v>34</v>
      </c>
      <c r="D980" s="1">
        <v>48493</v>
      </c>
      <c r="E980">
        <v>1850</v>
      </c>
      <c r="F980">
        <v>17</v>
      </c>
      <c r="G980" s="2">
        <v>9.1999999999999998E-3</v>
      </c>
      <c r="H980" s="2">
        <f>Table1[[#This Row],[İade Miktarı]]/Table1[[#This Row],[Satış Miktarı]]</f>
        <v>9.189189189189189E-3</v>
      </c>
      <c r="I980" t="s">
        <v>18</v>
      </c>
      <c r="J980">
        <v>36</v>
      </c>
      <c r="K980">
        <f>Table1[[#This Row],[Satış Miktarı]]*Table1[[#This Row],[Satış Fiyatı]]</f>
        <v>66600</v>
      </c>
      <c r="L980" t="s">
        <v>19</v>
      </c>
      <c r="M980" t="s">
        <v>30</v>
      </c>
      <c r="N980" t="s">
        <v>26</v>
      </c>
      <c r="O980">
        <v>0.2</v>
      </c>
      <c r="P980" t="s">
        <v>22</v>
      </c>
      <c r="Q980" t="s">
        <v>69</v>
      </c>
    </row>
    <row r="981" spans="1:17">
      <c r="A981">
        <v>170519340</v>
      </c>
      <c r="B981" t="s">
        <v>51</v>
      </c>
      <c r="C981" t="s">
        <v>17</v>
      </c>
      <c r="D981" s="1">
        <v>47813</v>
      </c>
      <c r="E981">
        <v>1158</v>
      </c>
      <c r="F981">
        <v>29</v>
      </c>
      <c r="G981" s="2">
        <v>2.5000000000000001E-2</v>
      </c>
      <c r="H981" s="2">
        <f>Table1[[#This Row],[İade Miktarı]]/Table1[[#This Row],[Satış Miktarı]]</f>
        <v>2.5043177892918825E-2</v>
      </c>
      <c r="I981" t="s">
        <v>18</v>
      </c>
      <c r="J981">
        <v>34</v>
      </c>
      <c r="K981">
        <f>Table1[[#This Row],[Satış Miktarı]]*Table1[[#This Row],[Satış Fiyatı]]</f>
        <v>39372</v>
      </c>
      <c r="L981" t="s">
        <v>19</v>
      </c>
      <c r="M981" t="s">
        <v>35</v>
      </c>
      <c r="N981" t="s">
        <v>26</v>
      </c>
      <c r="O981">
        <v>0.2</v>
      </c>
      <c r="P981" t="s">
        <v>27</v>
      </c>
      <c r="Q981" t="s">
        <v>48</v>
      </c>
    </row>
    <row r="982" spans="1:17">
      <c r="A982">
        <v>436761514</v>
      </c>
      <c r="B982" t="s">
        <v>54</v>
      </c>
      <c r="C982" t="s">
        <v>34</v>
      </c>
      <c r="D982" s="1">
        <v>47622</v>
      </c>
      <c r="E982">
        <v>1061</v>
      </c>
      <c r="F982">
        <v>12</v>
      </c>
      <c r="G982" s="2">
        <v>1.1299999999999999E-2</v>
      </c>
      <c r="H982" s="2">
        <f>Table1[[#This Row],[İade Miktarı]]/Table1[[#This Row],[Satış Miktarı]]</f>
        <v>1.1310084825636193E-2</v>
      </c>
      <c r="I982" t="s">
        <v>18</v>
      </c>
      <c r="J982">
        <v>20</v>
      </c>
      <c r="K982">
        <f>Table1[[#This Row],[Satış Miktarı]]*Table1[[#This Row],[Satış Fiyatı]]</f>
        <v>21220</v>
      </c>
      <c r="L982" t="s">
        <v>19</v>
      </c>
      <c r="M982" t="s">
        <v>38</v>
      </c>
      <c r="N982" t="s">
        <v>78</v>
      </c>
      <c r="O982">
        <v>0.2</v>
      </c>
      <c r="P982" t="s">
        <v>22</v>
      </c>
      <c r="Q982" t="s">
        <v>28</v>
      </c>
    </row>
    <row r="983" spans="1:17">
      <c r="A983">
        <v>994834543</v>
      </c>
      <c r="B983" t="s">
        <v>57</v>
      </c>
      <c r="C983" t="s">
        <v>34</v>
      </c>
      <c r="D983" s="1">
        <v>47641</v>
      </c>
      <c r="E983">
        <v>1167</v>
      </c>
      <c r="F983">
        <v>16</v>
      </c>
      <c r="G983" s="2">
        <v>1.37E-2</v>
      </c>
      <c r="H983" s="2">
        <f>Table1[[#This Row],[İade Miktarı]]/Table1[[#This Row],[Satış Miktarı]]</f>
        <v>1.3710368466152529E-2</v>
      </c>
      <c r="I983" t="s">
        <v>18</v>
      </c>
      <c r="J983">
        <v>23</v>
      </c>
      <c r="K983">
        <f>Table1[[#This Row],[Satış Miktarı]]*Table1[[#This Row],[Satış Fiyatı]]</f>
        <v>26841</v>
      </c>
      <c r="L983" t="s">
        <v>19</v>
      </c>
      <c r="M983" t="s">
        <v>42</v>
      </c>
      <c r="N983" t="s">
        <v>26</v>
      </c>
      <c r="O983">
        <v>0.2</v>
      </c>
      <c r="P983" t="s">
        <v>22</v>
      </c>
      <c r="Q983" t="s">
        <v>48</v>
      </c>
    </row>
    <row r="984" spans="1:17">
      <c r="A984">
        <v>398827941</v>
      </c>
      <c r="B984" t="s">
        <v>59</v>
      </c>
      <c r="C984" t="s">
        <v>17</v>
      </c>
      <c r="D984" s="1">
        <v>47653</v>
      </c>
      <c r="E984">
        <v>3361</v>
      </c>
      <c r="F984">
        <v>44</v>
      </c>
      <c r="G984" s="2">
        <v>1.3100000000000001E-2</v>
      </c>
      <c r="H984" s="2">
        <f>Table1[[#This Row],[İade Miktarı]]/Table1[[#This Row],[Satış Miktarı]]</f>
        <v>1.309134186254091E-2</v>
      </c>
      <c r="I984" t="s">
        <v>45</v>
      </c>
      <c r="J984">
        <v>43</v>
      </c>
      <c r="K984">
        <f>Table1[[#This Row],[Satış Miktarı]]*Table1[[#This Row],[Satış Fiyatı]]</f>
        <v>144523</v>
      </c>
      <c r="L984" t="s">
        <v>19</v>
      </c>
      <c r="M984" t="s">
        <v>46</v>
      </c>
      <c r="N984" t="s">
        <v>26</v>
      </c>
      <c r="O984">
        <v>0.2</v>
      </c>
      <c r="P984" t="s">
        <v>27</v>
      </c>
      <c r="Q984" t="s">
        <v>28</v>
      </c>
    </row>
    <row r="985" spans="1:17">
      <c r="A985">
        <v>615915432</v>
      </c>
      <c r="B985" t="s">
        <v>63</v>
      </c>
      <c r="C985" t="s">
        <v>17</v>
      </c>
      <c r="D985" s="1">
        <v>47824</v>
      </c>
      <c r="E985">
        <v>3981</v>
      </c>
      <c r="F985">
        <v>35</v>
      </c>
      <c r="G985" s="2">
        <v>8.8000000000000005E-3</v>
      </c>
      <c r="H985" s="2">
        <f>Table1[[#This Row],[İade Miktarı]]/Table1[[#This Row],[Satış Miktarı]]</f>
        <v>8.7917608641044972E-3</v>
      </c>
      <c r="I985" t="s">
        <v>18</v>
      </c>
      <c r="J985">
        <v>30</v>
      </c>
      <c r="K985">
        <f>Table1[[#This Row],[Satış Miktarı]]*Table1[[#This Row],[Satış Fiyatı]]</f>
        <v>119430</v>
      </c>
      <c r="L985" t="s">
        <v>19</v>
      </c>
      <c r="M985" t="s">
        <v>46</v>
      </c>
      <c r="N985" t="s">
        <v>47</v>
      </c>
      <c r="O985">
        <v>0.2</v>
      </c>
      <c r="P985" t="s">
        <v>27</v>
      </c>
      <c r="Q985" t="s">
        <v>75</v>
      </c>
    </row>
    <row r="986" spans="1:17">
      <c r="A986">
        <v>870446138</v>
      </c>
      <c r="B986" t="s">
        <v>29</v>
      </c>
      <c r="C986" t="s">
        <v>17</v>
      </c>
      <c r="D986" s="1">
        <v>48565</v>
      </c>
      <c r="E986">
        <v>2863</v>
      </c>
      <c r="F986">
        <v>41</v>
      </c>
      <c r="G986" s="2">
        <v>1.43E-2</v>
      </c>
      <c r="H986" s="2">
        <f>Table1[[#This Row],[İade Miktarı]]/Table1[[#This Row],[Satış Miktarı]]</f>
        <v>1.4320642682500873E-2</v>
      </c>
      <c r="I986" t="s">
        <v>18</v>
      </c>
      <c r="J986">
        <v>42</v>
      </c>
      <c r="K986">
        <f>Table1[[#This Row],[Satış Miktarı]]*Table1[[#This Row],[Satış Fiyatı]]</f>
        <v>120246</v>
      </c>
      <c r="L986" t="s">
        <v>19</v>
      </c>
      <c r="M986" t="s">
        <v>52</v>
      </c>
      <c r="N986" t="s">
        <v>78</v>
      </c>
      <c r="O986">
        <v>0.2</v>
      </c>
      <c r="P986" t="s">
        <v>27</v>
      </c>
      <c r="Q986" t="s">
        <v>80</v>
      </c>
    </row>
    <row r="987" spans="1:17">
      <c r="A987">
        <v>988933566</v>
      </c>
      <c r="B987" t="s">
        <v>33</v>
      </c>
      <c r="C987" t="s">
        <v>34</v>
      </c>
      <c r="D987" s="1">
        <v>47958</v>
      </c>
      <c r="E987">
        <v>2640</v>
      </c>
      <c r="F987">
        <v>23</v>
      </c>
      <c r="G987" s="2">
        <v>8.6999999999999994E-3</v>
      </c>
      <c r="H987" s="2">
        <f>Table1[[#This Row],[İade Miktarı]]/Table1[[#This Row],[Satış Miktarı]]</f>
        <v>8.7121212121212127E-3</v>
      </c>
      <c r="I987" t="s">
        <v>45</v>
      </c>
      <c r="J987">
        <v>46</v>
      </c>
      <c r="K987">
        <f>Table1[[#This Row],[Satış Miktarı]]*Table1[[#This Row],[Satış Fiyatı]]</f>
        <v>121440</v>
      </c>
      <c r="L987" t="s">
        <v>19</v>
      </c>
      <c r="M987" t="s">
        <v>55</v>
      </c>
      <c r="N987" t="s">
        <v>61</v>
      </c>
      <c r="O987">
        <v>0.2</v>
      </c>
      <c r="P987" t="s">
        <v>22</v>
      </c>
      <c r="Q987" t="s">
        <v>84</v>
      </c>
    </row>
    <row r="988" spans="1:17">
      <c r="A988">
        <v>897086617</v>
      </c>
      <c r="B988" t="s">
        <v>37</v>
      </c>
      <c r="C988" t="s">
        <v>34</v>
      </c>
      <c r="D988" s="1">
        <v>47784</v>
      </c>
      <c r="E988">
        <v>1114</v>
      </c>
      <c r="F988">
        <v>25</v>
      </c>
      <c r="G988" s="2">
        <v>2.24E-2</v>
      </c>
      <c r="H988" s="2">
        <f>Table1[[#This Row],[İade Miktarı]]/Table1[[#This Row],[Satış Miktarı]]</f>
        <v>2.244165170556553E-2</v>
      </c>
      <c r="I988" t="s">
        <v>18</v>
      </c>
      <c r="J988">
        <v>41</v>
      </c>
      <c r="K988">
        <f>Table1[[#This Row],[Satış Miktarı]]*Table1[[#This Row],[Satış Fiyatı]]</f>
        <v>45674</v>
      </c>
      <c r="L988" t="s">
        <v>19</v>
      </c>
      <c r="M988" t="s">
        <v>58</v>
      </c>
      <c r="N988" t="s">
        <v>39</v>
      </c>
      <c r="O988">
        <v>0.2</v>
      </c>
      <c r="P988" t="s">
        <v>22</v>
      </c>
      <c r="Q988" t="s">
        <v>32</v>
      </c>
    </row>
    <row r="989" spans="1:17">
      <c r="A989">
        <v>420963932</v>
      </c>
      <c r="B989" t="s">
        <v>41</v>
      </c>
      <c r="C989" t="s">
        <v>17</v>
      </c>
      <c r="D989" s="1">
        <v>48091</v>
      </c>
      <c r="E989">
        <v>3559</v>
      </c>
      <c r="F989">
        <v>28</v>
      </c>
      <c r="G989" s="2">
        <v>7.9000000000000008E-3</v>
      </c>
      <c r="H989" s="2">
        <f>Table1[[#This Row],[İade Miktarı]]/Table1[[#This Row],[Satış Miktarı]]</f>
        <v>7.8673784771003084E-3</v>
      </c>
      <c r="I989" t="s">
        <v>18</v>
      </c>
      <c r="J989">
        <v>29</v>
      </c>
      <c r="K989">
        <f>Table1[[#This Row],[Satış Miktarı]]*Table1[[#This Row],[Satış Fiyatı]]</f>
        <v>103211</v>
      </c>
      <c r="L989" t="s">
        <v>19</v>
      </c>
      <c r="M989" t="s">
        <v>60</v>
      </c>
      <c r="N989" t="s">
        <v>47</v>
      </c>
      <c r="O989">
        <v>0.2</v>
      </c>
      <c r="P989" t="s">
        <v>27</v>
      </c>
      <c r="Q989" t="s">
        <v>48</v>
      </c>
    </row>
    <row r="990" spans="1:17">
      <c r="A990">
        <v>404289447</v>
      </c>
      <c r="B990" t="s">
        <v>44</v>
      </c>
      <c r="C990" t="s">
        <v>17</v>
      </c>
      <c r="D990" s="1">
        <v>48057</v>
      </c>
      <c r="E990">
        <v>2173</v>
      </c>
      <c r="F990">
        <v>17</v>
      </c>
      <c r="G990" s="2">
        <v>7.7999999999999996E-3</v>
      </c>
      <c r="H990" s="2">
        <f>Table1[[#This Row],[İade Miktarı]]/Table1[[#This Row],[Satış Miktarı]]</f>
        <v>7.8232857800276112E-3</v>
      </c>
      <c r="I990" t="s">
        <v>18</v>
      </c>
      <c r="J990">
        <v>32</v>
      </c>
      <c r="K990">
        <f>Table1[[#This Row],[Satış Miktarı]]*Table1[[#This Row],[Satış Fiyatı]]</f>
        <v>69536</v>
      </c>
      <c r="L990" t="s">
        <v>19</v>
      </c>
      <c r="M990" t="s">
        <v>64</v>
      </c>
      <c r="N990" t="s">
        <v>26</v>
      </c>
      <c r="O990">
        <v>0.2</v>
      </c>
      <c r="P990" t="s">
        <v>22</v>
      </c>
      <c r="Q990" t="s">
        <v>23</v>
      </c>
    </row>
    <row r="991" spans="1:17">
      <c r="A991">
        <v>294113691</v>
      </c>
      <c r="B991" t="s">
        <v>49</v>
      </c>
      <c r="C991" t="s">
        <v>34</v>
      </c>
      <c r="D991" s="1">
        <v>47610</v>
      </c>
      <c r="E991">
        <v>4793</v>
      </c>
      <c r="F991">
        <v>34</v>
      </c>
      <c r="G991" s="2">
        <v>7.1000000000000004E-3</v>
      </c>
      <c r="H991" s="2">
        <f>Table1[[#This Row],[İade Miktarı]]/Table1[[#This Row],[Satış Miktarı]]</f>
        <v>7.0936782808262051E-3</v>
      </c>
      <c r="I991" t="s">
        <v>18</v>
      </c>
      <c r="J991">
        <v>22</v>
      </c>
      <c r="K991">
        <f>Table1[[#This Row],[Satış Miktarı]]*Table1[[#This Row],[Satış Fiyatı]]</f>
        <v>105446</v>
      </c>
      <c r="L991" t="s">
        <v>19</v>
      </c>
      <c r="M991" t="s">
        <v>68</v>
      </c>
      <c r="N991" t="s">
        <v>61</v>
      </c>
      <c r="O991">
        <v>0.2</v>
      </c>
      <c r="P991" t="s">
        <v>22</v>
      </c>
      <c r="Q991" t="s">
        <v>66</v>
      </c>
    </row>
    <row r="992" spans="1:17">
      <c r="A992">
        <v>615647651</v>
      </c>
      <c r="B992" t="s">
        <v>51</v>
      </c>
      <c r="C992" t="s">
        <v>17</v>
      </c>
      <c r="D992" s="1">
        <v>47923</v>
      </c>
      <c r="E992">
        <v>2721</v>
      </c>
      <c r="F992">
        <v>25</v>
      </c>
      <c r="G992" s="2">
        <v>9.1999999999999998E-3</v>
      </c>
      <c r="H992" s="2">
        <f>Table1[[#This Row],[İade Miktarı]]/Table1[[#This Row],[Satış Miktarı]]</f>
        <v>9.1877986034546114E-3</v>
      </c>
      <c r="I992" t="s">
        <v>45</v>
      </c>
      <c r="J992">
        <v>50</v>
      </c>
      <c r="K992">
        <f>Table1[[#This Row],[Satış Miktarı]]*Table1[[#This Row],[Satış Fiyatı]]</f>
        <v>136050</v>
      </c>
      <c r="L992" t="s">
        <v>19</v>
      </c>
      <c r="M992" t="s">
        <v>71</v>
      </c>
      <c r="N992" t="s">
        <v>21</v>
      </c>
      <c r="O992">
        <v>0.2</v>
      </c>
      <c r="P992" t="s">
        <v>27</v>
      </c>
      <c r="Q992" t="s">
        <v>83</v>
      </c>
    </row>
    <row r="993" spans="1:17">
      <c r="A993">
        <v>770748172</v>
      </c>
      <c r="B993" t="s">
        <v>54</v>
      </c>
      <c r="C993" t="s">
        <v>34</v>
      </c>
      <c r="D993" s="1">
        <v>48083</v>
      </c>
      <c r="E993">
        <v>3502</v>
      </c>
      <c r="F993">
        <v>22</v>
      </c>
      <c r="G993" s="2">
        <v>6.3E-3</v>
      </c>
      <c r="H993" s="2">
        <f>Table1[[#This Row],[İade Miktarı]]/Table1[[#This Row],[Satış Miktarı]]</f>
        <v>6.2821245002855509E-3</v>
      </c>
      <c r="I993" t="s">
        <v>18</v>
      </c>
      <c r="J993">
        <v>34</v>
      </c>
      <c r="K993">
        <f>Table1[[#This Row],[Satış Miktarı]]*Table1[[#This Row],[Satış Fiyatı]]</f>
        <v>119068</v>
      </c>
      <c r="L993" t="s">
        <v>19</v>
      </c>
      <c r="M993" t="s">
        <v>74</v>
      </c>
      <c r="N993" t="s">
        <v>31</v>
      </c>
      <c r="O993">
        <v>0.2</v>
      </c>
      <c r="P993" t="s">
        <v>22</v>
      </c>
      <c r="Q993" t="s">
        <v>53</v>
      </c>
    </row>
    <row r="994" spans="1:17">
      <c r="A994">
        <v>738174780</v>
      </c>
      <c r="B994" t="s">
        <v>57</v>
      </c>
      <c r="C994" t="s">
        <v>34</v>
      </c>
      <c r="D994" s="1">
        <v>48068</v>
      </c>
      <c r="E994">
        <v>2201</v>
      </c>
      <c r="F994">
        <v>30</v>
      </c>
      <c r="G994" s="2">
        <v>1.3599999999999999E-2</v>
      </c>
      <c r="H994" s="2">
        <f>Table1[[#This Row],[İade Miktarı]]/Table1[[#This Row],[Satış Miktarı]]</f>
        <v>1.3630168105406633E-2</v>
      </c>
      <c r="I994" t="s">
        <v>45</v>
      </c>
      <c r="J994">
        <v>42</v>
      </c>
      <c r="K994">
        <f>Table1[[#This Row],[Satış Miktarı]]*Table1[[#This Row],[Satış Fiyatı]]</f>
        <v>92442</v>
      </c>
      <c r="L994" t="s">
        <v>19</v>
      </c>
      <c r="M994" t="s">
        <v>20</v>
      </c>
      <c r="N994" t="s">
        <v>43</v>
      </c>
      <c r="O994">
        <v>0.2</v>
      </c>
      <c r="P994" t="s">
        <v>22</v>
      </c>
      <c r="Q994" t="s">
        <v>69</v>
      </c>
    </row>
    <row r="995" spans="1:17">
      <c r="A995">
        <v>550422280</v>
      </c>
      <c r="B995" t="s">
        <v>59</v>
      </c>
      <c r="C995" t="s">
        <v>17</v>
      </c>
      <c r="D995" s="1">
        <v>48132</v>
      </c>
      <c r="E995">
        <v>1962</v>
      </c>
      <c r="F995">
        <v>22</v>
      </c>
      <c r="G995" s="2">
        <v>1.12E-2</v>
      </c>
      <c r="H995" s="2">
        <f>Table1[[#This Row],[İade Miktarı]]/Table1[[#This Row],[Satış Miktarı]]</f>
        <v>1.1213047910295617E-2</v>
      </c>
      <c r="I995" t="s">
        <v>18</v>
      </c>
      <c r="J995">
        <v>46</v>
      </c>
      <c r="K995">
        <f>Table1[[#This Row],[Satış Miktarı]]*Table1[[#This Row],[Satış Fiyatı]]</f>
        <v>90252</v>
      </c>
      <c r="L995" t="s">
        <v>19</v>
      </c>
      <c r="M995" t="s">
        <v>25</v>
      </c>
      <c r="N995" t="s">
        <v>31</v>
      </c>
      <c r="O995">
        <v>0.2</v>
      </c>
      <c r="P995" t="s">
        <v>22</v>
      </c>
      <c r="Q995" t="s">
        <v>23</v>
      </c>
    </row>
    <row r="996" spans="1:17">
      <c r="A996">
        <v>92418823</v>
      </c>
      <c r="B996" t="s">
        <v>63</v>
      </c>
      <c r="C996" t="s">
        <v>17</v>
      </c>
      <c r="D996" s="1">
        <v>47606</v>
      </c>
      <c r="E996">
        <v>1032</v>
      </c>
      <c r="F996">
        <v>47</v>
      </c>
      <c r="G996" s="2">
        <v>4.5499999999999999E-2</v>
      </c>
      <c r="H996" s="2">
        <f>Table1[[#This Row],[İade Miktarı]]/Table1[[#This Row],[Satış Miktarı]]</f>
        <v>4.5542635658914726E-2</v>
      </c>
      <c r="I996" t="s">
        <v>18</v>
      </c>
      <c r="J996">
        <v>34</v>
      </c>
      <c r="K996">
        <f>Table1[[#This Row],[Satış Miktarı]]*Table1[[#This Row],[Satış Fiyatı]]</f>
        <v>35088</v>
      </c>
      <c r="L996" t="s">
        <v>19</v>
      </c>
      <c r="M996" t="s">
        <v>30</v>
      </c>
      <c r="N996" t="s">
        <v>78</v>
      </c>
      <c r="O996">
        <v>0.2</v>
      </c>
      <c r="P996" t="s">
        <v>27</v>
      </c>
      <c r="Q996" t="s">
        <v>79</v>
      </c>
    </row>
    <row r="997" spans="1:17">
      <c r="A997">
        <v>505860727</v>
      </c>
      <c r="B997" t="s">
        <v>67</v>
      </c>
      <c r="C997" t="s">
        <v>17</v>
      </c>
      <c r="D997" s="1">
        <v>47967</v>
      </c>
      <c r="E997">
        <v>4068</v>
      </c>
      <c r="F997">
        <v>34</v>
      </c>
      <c r="G997" s="2">
        <v>8.3999999999999995E-3</v>
      </c>
      <c r="H997" s="2">
        <f>Table1[[#This Row],[İade Miktarı]]/Table1[[#This Row],[Satış Miktarı]]</f>
        <v>8.3579154375614546E-3</v>
      </c>
      <c r="I997" t="s">
        <v>18</v>
      </c>
      <c r="J997">
        <v>24</v>
      </c>
      <c r="K997">
        <f>Table1[[#This Row],[Satış Miktarı]]*Table1[[#This Row],[Satış Fiyatı]]</f>
        <v>97632</v>
      </c>
      <c r="L997" t="s">
        <v>19</v>
      </c>
      <c r="M997" t="s">
        <v>35</v>
      </c>
      <c r="N997" t="s">
        <v>39</v>
      </c>
      <c r="O997">
        <v>0.2</v>
      </c>
      <c r="P997" t="s">
        <v>22</v>
      </c>
      <c r="Q997" t="s">
        <v>69</v>
      </c>
    </row>
    <row r="998" spans="1:17">
      <c r="A998">
        <v>819158728</v>
      </c>
      <c r="B998" t="s">
        <v>70</v>
      </c>
      <c r="C998" t="s">
        <v>17</v>
      </c>
      <c r="D998" s="1">
        <v>47806</v>
      </c>
      <c r="E998">
        <v>2466</v>
      </c>
      <c r="F998">
        <v>46</v>
      </c>
      <c r="G998" s="2">
        <v>1.8700000000000001E-2</v>
      </c>
      <c r="H998" s="2">
        <f>Table1[[#This Row],[İade Miktarı]]/Table1[[#This Row],[Satış Miktarı]]</f>
        <v>1.8653690186536901E-2</v>
      </c>
      <c r="I998" t="s">
        <v>18</v>
      </c>
      <c r="J998">
        <v>27</v>
      </c>
      <c r="K998">
        <f>Table1[[#This Row],[Satış Miktarı]]*Table1[[#This Row],[Satış Fiyatı]]</f>
        <v>66582</v>
      </c>
      <c r="L998" t="s">
        <v>19</v>
      </c>
      <c r="M998" t="s">
        <v>38</v>
      </c>
      <c r="N998" t="s">
        <v>31</v>
      </c>
      <c r="O998">
        <v>0.2</v>
      </c>
      <c r="P998" t="s">
        <v>22</v>
      </c>
      <c r="Q998" t="s">
        <v>82</v>
      </c>
    </row>
    <row r="999" spans="1:17">
      <c r="A999">
        <v>801905318</v>
      </c>
      <c r="B999" t="s">
        <v>73</v>
      </c>
      <c r="C999" t="s">
        <v>17</v>
      </c>
      <c r="D999" s="1">
        <v>48113</v>
      </c>
      <c r="E999">
        <v>2331</v>
      </c>
      <c r="F999">
        <v>24</v>
      </c>
      <c r="G999" s="2">
        <v>1.03E-2</v>
      </c>
      <c r="H999" s="2">
        <f>Table1[[#This Row],[İade Miktarı]]/Table1[[#This Row],[Satış Miktarı]]</f>
        <v>1.0296010296010296E-2</v>
      </c>
      <c r="I999" t="s">
        <v>18</v>
      </c>
      <c r="J999">
        <v>44</v>
      </c>
      <c r="K999">
        <f>Table1[[#This Row],[Satış Miktarı]]*Table1[[#This Row],[Satış Fiyatı]]</f>
        <v>102564</v>
      </c>
      <c r="L999" t="s">
        <v>19</v>
      </c>
      <c r="M999" t="s">
        <v>42</v>
      </c>
      <c r="N999" t="s">
        <v>61</v>
      </c>
      <c r="O999">
        <v>0.2</v>
      </c>
      <c r="P999" t="s">
        <v>22</v>
      </c>
      <c r="Q999" t="s">
        <v>40</v>
      </c>
    </row>
    <row r="1000" spans="1:17">
      <c r="A1000">
        <v>295419417</v>
      </c>
      <c r="B1000" t="s">
        <v>16</v>
      </c>
      <c r="C1000" t="s">
        <v>17</v>
      </c>
      <c r="D1000" s="1">
        <v>47795</v>
      </c>
      <c r="E1000">
        <v>2734</v>
      </c>
      <c r="F1000">
        <v>27</v>
      </c>
      <c r="G1000" s="2">
        <v>9.9000000000000008E-3</v>
      </c>
      <c r="H1000" s="2">
        <f>Table1[[#This Row],[İade Miktarı]]/Table1[[#This Row],[Satış Miktarı]]</f>
        <v>9.8756400877834678E-3</v>
      </c>
      <c r="I1000" t="s">
        <v>18</v>
      </c>
      <c r="J1000">
        <v>30</v>
      </c>
      <c r="K1000">
        <f>Table1[[#This Row],[Satış Miktarı]]*Table1[[#This Row],[Satış Fiyatı]]</f>
        <v>82020</v>
      </c>
      <c r="L1000" t="s">
        <v>19</v>
      </c>
      <c r="M1000" t="s">
        <v>46</v>
      </c>
      <c r="N1000" t="s">
        <v>26</v>
      </c>
      <c r="O1000">
        <v>0.2</v>
      </c>
      <c r="P1000" t="s">
        <v>27</v>
      </c>
      <c r="Q1000" t="s">
        <v>48</v>
      </c>
    </row>
    <row r="1001" spans="1:17">
      <c r="A1001">
        <v>132039419</v>
      </c>
      <c r="B1001" t="s">
        <v>24</v>
      </c>
      <c r="C1001" t="s">
        <v>17</v>
      </c>
      <c r="D1001" s="1">
        <v>47850</v>
      </c>
      <c r="E1001">
        <v>2042</v>
      </c>
      <c r="F1001">
        <v>13</v>
      </c>
      <c r="G1001" s="2">
        <v>6.4000000000000003E-3</v>
      </c>
      <c r="H1001" s="2">
        <f>Table1[[#This Row],[İade Miktarı]]/Table1[[#This Row],[Satış Miktarı]]</f>
        <v>6.3663075416258569E-3</v>
      </c>
      <c r="I1001" t="s">
        <v>18</v>
      </c>
      <c r="J1001">
        <v>37</v>
      </c>
      <c r="K1001">
        <f>Table1[[#This Row],[Satış Miktarı]]*Table1[[#This Row],[Satış Fiyatı]]</f>
        <v>75554</v>
      </c>
      <c r="L1001" t="s">
        <v>19</v>
      </c>
      <c r="M1001" t="s">
        <v>46</v>
      </c>
      <c r="N1001" t="s">
        <v>39</v>
      </c>
      <c r="O1001">
        <v>0.2</v>
      </c>
      <c r="P1001" t="s">
        <v>27</v>
      </c>
      <c r="Q1001" t="s">
        <v>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28B0-522D-4639-8438-042F73167829}">
  <sheetPr>
    <tabColor rgb="FF0070C0"/>
  </sheetPr>
  <dimension ref="A28:H44"/>
  <sheetViews>
    <sheetView showGridLines="0" showRowColHeaders="0" tabSelected="1" zoomScaleNormal="100" workbookViewId="0">
      <selection activeCell="U23" sqref="U23"/>
    </sheetView>
  </sheetViews>
  <sheetFormatPr defaultRowHeight="15"/>
  <cols>
    <col min="1" max="4" width="13.85546875" customWidth="1"/>
    <col min="6" max="8" width="18.42578125" customWidth="1"/>
    <col min="9" max="9" width="21.42578125" bestFit="1" customWidth="1"/>
  </cols>
  <sheetData>
    <row r="28" spans="1:8">
      <c r="A28" s="11" t="s">
        <v>91</v>
      </c>
      <c r="B28" s="12" t="s">
        <v>90</v>
      </c>
      <c r="C28" s="12" t="s">
        <v>94</v>
      </c>
      <c r="D28" s="12" t="s">
        <v>93</v>
      </c>
      <c r="F28" s="3" t="s">
        <v>7</v>
      </c>
      <c r="G28" s="3" t="s">
        <v>14</v>
      </c>
      <c r="H28" s="4" t="s">
        <v>90</v>
      </c>
    </row>
    <row r="29" spans="1:8">
      <c r="A29" s="9" t="s">
        <v>20</v>
      </c>
      <c r="B29" s="10">
        <v>192051</v>
      </c>
      <c r="C29" s="14">
        <v>6.4942846872631868E-2</v>
      </c>
      <c r="D29" s="13"/>
      <c r="F29" s="4" t="s">
        <v>85</v>
      </c>
      <c r="G29" s="4" t="s">
        <v>22</v>
      </c>
      <c r="H29" s="6">
        <v>3231</v>
      </c>
    </row>
    <row r="30" spans="1:8">
      <c r="A30" s="9" t="s">
        <v>71</v>
      </c>
      <c r="B30" s="10">
        <v>168311</v>
      </c>
      <c r="C30" s="14">
        <v>5.6915066831099766E-2</v>
      </c>
      <c r="D30" s="8">
        <v>-23740</v>
      </c>
      <c r="F30" s="4" t="s">
        <v>81</v>
      </c>
      <c r="G30" s="4" t="s">
        <v>27</v>
      </c>
      <c r="H30" s="6">
        <v>11409</v>
      </c>
    </row>
    <row r="31" spans="1:8">
      <c r="A31" s="9" t="s">
        <v>58</v>
      </c>
      <c r="B31" s="10">
        <v>180117</v>
      </c>
      <c r="C31" s="14">
        <v>6.0907314984862529E-2</v>
      </c>
      <c r="D31" s="8">
        <v>11806</v>
      </c>
      <c r="F31" s="4"/>
      <c r="G31" s="4" t="s">
        <v>22</v>
      </c>
      <c r="H31" s="6">
        <v>14753</v>
      </c>
    </row>
    <row r="32" spans="1:8">
      <c r="A32" s="9" t="s">
        <v>64</v>
      </c>
      <c r="B32" s="10">
        <v>198875</v>
      </c>
      <c r="C32" s="14">
        <v>6.7250410941857436E-2</v>
      </c>
      <c r="D32" s="8">
        <v>18758</v>
      </c>
      <c r="F32" s="4" t="s">
        <v>18</v>
      </c>
      <c r="G32" s="4" t="s">
        <v>27</v>
      </c>
      <c r="H32" s="6">
        <v>1290009</v>
      </c>
    </row>
    <row r="33" spans="1:8">
      <c r="A33" s="9" t="s">
        <v>25</v>
      </c>
      <c r="B33" s="10">
        <v>190371</v>
      </c>
      <c r="C33" s="14">
        <v>6.4374747863795559E-2</v>
      </c>
      <c r="D33" s="8">
        <v>-8504</v>
      </c>
      <c r="F33" s="4"/>
      <c r="G33" s="4" t="s">
        <v>22</v>
      </c>
      <c r="H33" s="6">
        <v>1382887</v>
      </c>
    </row>
    <row r="34" spans="1:8">
      <c r="A34" s="9" t="s">
        <v>74</v>
      </c>
      <c r="B34" s="10">
        <v>176830</v>
      </c>
      <c r="C34" s="14">
        <v>5.9795802221740538E-2</v>
      </c>
      <c r="D34" s="8">
        <v>-13541</v>
      </c>
      <c r="F34" s="4" t="s">
        <v>45</v>
      </c>
      <c r="G34" s="4" t="s">
        <v>27</v>
      </c>
      <c r="H34" s="6">
        <v>115791</v>
      </c>
    </row>
    <row r="35" spans="1:8">
      <c r="A35" s="9" t="s">
        <v>60</v>
      </c>
      <c r="B35" s="10">
        <v>194997</v>
      </c>
      <c r="C35" s="14">
        <v>6.5939049063126962E-2</v>
      </c>
      <c r="D35" s="8">
        <v>18167</v>
      </c>
      <c r="F35" s="4"/>
      <c r="G35" s="4" t="s">
        <v>22</v>
      </c>
      <c r="H35" s="6">
        <v>123587</v>
      </c>
    </row>
    <row r="36" spans="1:8">
      <c r="A36" s="9" t="s">
        <v>46</v>
      </c>
      <c r="B36" s="10">
        <v>367156</v>
      </c>
      <c r="C36" s="14">
        <v>0.1241553331477994</v>
      </c>
      <c r="D36" s="8">
        <v>172159</v>
      </c>
      <c r="F36" s="4" t="s">
        <v>87</v>
      </c>
      <c r="G36" s="4" t="s">
        <v>27</v>
      </c>
      <c r="H36" s="6">
        <v>9951</v>
      </c>
    </row>
    <row r="37" spans="1:8">
      <c r="A37" s="9" t="s">
        <v>55</v>
      </c>
      <c r="B37" s="10">
        <v>186096</v>
      </c>
      <c r="C37" s="14">
        <v>6.2929138778810317E-2</v>
      </c>
      <c r="D37" s="8">
        <v>-181060</v>
      </c>
      <c r="F37" s="4"/>
      <c r="G37" s="4" t="s">
        <v>22</v>
      </c>
      <c r="H37" s="6">
        <v>5613</v>
      </c>
    </row>
    <row r="38" spans="1:8">
      <c r="A38" s="9" t="s">
        <v>68</v>
      </c>
      <c r="B38" s="10">
        <v>185224</v>
      </c>
      <c r="C38" s="14">
        <v>6.2634268340890517E-2</v>
      </c>
      <c r="D38" s="8">
        <v>-872</v>
      </c>
      <c r="F38" s="4" t="s">
        <v>92</v>
      </c>
      <c r="G38" s="4"/>
      <c r="H38" s="6">
        <v>2957231</v>
      </c>
    </row>
    <row r="39" spans="1:8">
      <c r="A39" s="9" t="s">
        <v>42</v>
      </c>
      <c r="B39" s="10">
        <v>167742</v>
      </c>
      <c r="C39" s="14">
        <v>5.6722657107273665E-2</v>
      </c>
      <c r="D39" s="8">
        <v>-17482</v>
      </c>
    </row>
    <row r="40" spans="1:8">
      <c r="A40" s="9" t="s">
        <v>35</v>
      </c>
      <c r="B40" s="10">
        <v>188231</v>
      </c>
      <c r="C40" s="14">
        <v>6.3651097935873119E-2</v>
      </c>
      <c r="D40" s="8">
        <v>20489</v>
      </c>
    </row>
    <row r="41" spans="1:8">
      <c r="A41" s="9" t="s">
        <v>38</v>
      </c>
      <c r="B41" s="10">
        <v>196317</v>
      </c>
      <c r="C41" s="14">
        <v>6.6385412570069774E-2</v>
      </c>
      <c r="D41" s="8">
        <v>8086</v>
      </c>
    </row>
    <row r="42" spans="1:8">
      <c r="A42" s="9" t="s">
        <v>52</v>
      </c>
      <c r="B42" s="10">
        <v>183314</v>
      </c>
      <c r="C42" s="14">
        <v>6.1988393872511142E-2</v>
      </c>
      <c r="D42" s="8">
        <v>-13003</v>
      </c>
    </row>
    <row r="43" spans="1:8">
      <c r="A43" s="9" t="s">
        <v>30</v>
      </c>
      <c r="B43" s="10">
        <v>181599</v>
      </c>
      <c r="C43" s="14">
        <v>6.1408459467657411E-2</v>
      </c>
      <c r="D43" s="8">
        <v>-1715</v>
      </c>
    </row>
    <row r="44" spans="1:8">
      <c r="A44" s="9" t="s">
        <v>92</v>
      </c>
      <c r="B44" s="13">
        <v>2957231</v>
      </c>
      <c r="C44" s="14">
        <v>1</v>
      </c>
      <c r="D44" s="15"/>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Pivotlar</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Sercan Ayvaz</dc:creator>
  <cp:lastModifiedBy>Sercan Ayvaz</cp:lastModifiedBy>
  <dcterms:created xsi:type="dcterms:W3CDTF">2015-06-05T18:17:20Z</dcterms:created>
  <dcterms:modified xsi:type="dcterms:W3CDTF">2025-11-10T10:11:23Z</dcterms:modified>
</cp:coreProperties>
</file>